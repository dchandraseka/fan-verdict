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fan-verdict\Data\"/>
    </mc:Choice>
  </mc:AlternateContent>
  <xr:revisionPtr revIDLastSave="0" documentId="13_ncr:1_{35F90E18-5B23-4779-B5A6-A6D8D5A8771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oints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7" i="1" s="1"/>
  <c r="N18" i="1" s="1"/>
  <c r="BW16" i="1"/>
  <c r="BW17" i="1" s="1"/>
  <c r="BW18" i="1" s="1"/>
  <c r="BV16" i="1"/>
  <c r="BV17" i="1" s="1"/>
  <c r="BV18" i="1" s="1"/>
  <c r="BU16" i="1"/>
  <c r="BU17" i="1" s="1"/>
  <c r="BU18" i="1" s="1"/>
  <c r="BT16" i="1"/>
  <c r="BT17" i="1" s="1"/>
  <c r="BT18" i="1" s="1"/>
  <c r="BS16" i="1"/>
  <c r="BS17" i="1" s="1"/>
  <c r="BS18" i="1" s="1"/>
  <c r="BR16" i="1"/>
  <c r="BR17" i="1" s="1"/>
  <c r="BR18" i="1" s="1"/>
  <c r="BQ16" i="1"/>
  <c r="BQ17" i="1" s="1"/>
  <c r="BQ18" i="1" s="1"/>
  <c r="BP16" i="1"/>
  <c r="BP17" i="1" s="1"/>
  <c r="BP18" i="1" s="1"/>
  <c r="BO16" i="1"/>
  <c r="BO17" i="1" s="1"/>
  <c r="BO18" i="1" s="1"/>
  <c r="BN16" i="1"/>
  <c r="BN17" i="1" s="1"/>
  <c r="BN18" i="1" s="1"/>
  <c r="BM16" i="1"/>
  <c r="BM17" i="1" s="1"/>
  <c r="BM18" i="1" s="1"/>
  <c r="BL16" i="1"/>
  <c r="BL17" i="1" s="1"/>
  <c r="BL18" i="1" s="1"/>
  <c r="BK16" i="1"/>
  <c r="BK17" i="1" s="1"/>
  <c r="BK18" i="1" s="1"/>
  <c r="BJ16" i="1"/>
  <c r="BJ17" i="1" s="1"/>
  <c r="BJ18" i="1" s="1"/>
  <c r="BI16" i="1"/>
  <c r="BI17" i="1" s="1"/>
  <c r="BI18" i="1" s="1"/>
  <c r="BH16" i="1"/>
  <c r="BH17" i="1" s="1"/>
  <c r="BH18" i="1" s="1"/>
  <c r="BG16" i="1"/>
  <c r="BG17" i="1" s="1"/>
  <c r="BG18" i="1" s="1"/>
  <c r="BF16" i="1"/>
  <c r="BF17" i="1" s="1"/>
  <c r="BF18" i="1" s="1"/>
  <c r="BE16" i="1"/>
  <c r="BE17" i="1" s="1"/>
  <c r="BE18" i="1" s="1"/>
  <c r="BD16" i="1"/>
  <c r="BD17" i="1" s="1"/>
  <c r="BD18" i="1" s="1"/>
  <c r="BC16" i="1"/>
  <c r="BC17" i="1" s="1"/>
  <c r="BC18" i="1" s="1"/>
  <c r="BB16" i="1"/>
  <c r="BB17" i="1" s="1"/>
  <c r="BB18" i="1" s="1"/>
  <c r="BA16" i="1"/>
  <c r="BA17" i="1" s="1"/>
  <c r="BA18" i="1" s="1"/>
  <c r="AZ16" i="1"/>
  <c r="AZ17" i="1" s="1"/>
  <c r="AZ18" i="1" s="1"/>
  <c r="AY16" i="1"/>
  <c r="AY17" i="1" s="1"/>
  <c r="AY18" i="1" s="1"/>
  <c r="AX16" i="1"/>
  <c r="AX17" i="1" s="1"/>
  <c r="AX18" i="1" s="1"/>
  <c r="AW16" i="1"/>
  <c r="AW17" i="1" s="1"/>
  <c r="AW18" i="1" s="1"/>
  <c r="AV16" i="1"/>
  <c r="AV17" i="1" s="1"/>
  <c r="AV18" i="1" s="1"/>
  <c r="AU16" i="1"/>
  <c r="AU17" i="1" s="1"/>
  <c r="AU18" i="1" s="1"/>
  <c r="AT16" i="1"/>
  <c r="AT17" i="1" s="1"/>
  <c r="AT18" i="1" s="1"/>
  <c r="AS16" i="1"/>
  <c r="AS17" i="1" s="1"/>
  <c r="AS18" i="1" s="1"/>
  <c r="AR16" i="1"/>
  <c r="AR17" i="1" s="1"/>
  <c r="AR18" i="1" s="1"/>
  <c r="AQ16" i="1"/>
  <c r="AQ17" i="1" s="1"/>
  <c r="AQ18" i="1" s="1"/>
  <c r="AP16" i="1"/>
  <c r="AP17" i="1" s="1"/>
  <c r="AP18" i="1" s="1"/>
  <c r="AO16" i="1"/>
  <c r="AO17" i="1" s="1"/>
  <c r="AO18" i="1" s="1"/>
  <c r="AN16" i="1"/>
  <c r="AN17" i="1" s="1"/>
  <c r="AN18" i="1" s="1"/>
  <c r="AM16" i="1"/>
  <c r="AM17" i="1" s="1"/>
  <c r="AM18" i="1" s="1"/>
  <c r="AL16" i="1"/>
  <c r="AL17" i="1" s="1"/>
  <c r="AL18" i="1" s="1"/>
  <c r="AK16" i="1"/>
  <c r="AK17" i="1" s="1"/>
  <c r="AK18" i="1" s="1"/>
  <c r="AJ16" i="1"/>
  <c r="AJ17" i="1" s="1"/>
  <c r="AJ18" i="1" s="1"/>
  <c r="AI16" i="1"/>
  <c r="AI17" i="1" s="1"/>
  <c r="AI18" i="1" s="1"/>
  <c r="AH16" i="1"/>
  <c r="AH17" i="1" s="1"/>
  <c r="AH18" i="1" s="1"/>
  <c r="AG16" i="1"/>
  <c r="AG17" i="1" s="1"/>
  <c r="AG18" i="1" s="1"/>
  <c r="AF16" i="1"/>
  <c r="AF17" i="1" s="1"/>
  <c r="AF18" i="1" s="1"/>
  <c r="AE16" i="1"/>
  <c r="AE17" i="1" s="1"/>
  <c r="AE18" i="1" s="1"/>
  <c r="AD16" i="1"/>
  <c r="AD17" i="1" s="1"/>
  <c r="AD18" i="1" s="1"/>
  <c r="AC16" i="1"/>
  <c r="AC17" i="1" s="1"/>
  <c r="AC18" i="1" s="1"/>
  <c r="AB16" i="1"/>
  <c r="AB17" i="1" s="1"/>
  <c r="AB18" i="1" s="1"/>
  <c r="AA16" i="1"/>
  <c r="AA17" i="1" s="1"/>
  <c r="AA18" i="1" s="1"/>
  <c r="Z16" i="1"/>
  <c r="Z17" i="1" s="1"/>
  <c r="Z18" i="1" s="1"/>
  <c r="Y16" i="1"/>
  <c r="Y17" i="1" s="1"/>
  <c r="Y18" i="1" s="1"/>
  <c r="X16" i="1"/>
  <c r="X17" i="1" s="1"/>
  <c r="X18" i="1" s="1"/>
  <c r="W16" i="1"/>
  <c r="W17" i="1" s="1"/>
  <c r="W18" i="1" s="1"/>
  <c r="V16" i="1"/>
  <c r="V17" i="1" s="1"/>
  <c r="V18" i="1" s="1"/>
  <c r="U16" i="1"/>
  <c r="U17" i="1" s="1"/>
  <c r="U18" i="1" s="1"/>
  <c r="T16" i="1"/>
  <c r="T17" i="1" s="1"/>
  <c r="T18" i="1" s="1"/>
  <c r="S16" i="1"/>
  <c r="S17" i="1" s="1"/>
  <c r="S18" i="1" s="1"/>
  <c r="R16" i="1"/>
  <c r="R17" i="1" s="1"/>
  <c r="R18" i="1" s="1"/>
  <c r="Q16" i="1"/>
  <c r="Q17" i="1" s="1"/>
  <c r="Q18" i="1" s="1"/>
  <c r="P16" i="1"/>
  <c r="P17" i="1" s="1"/>
  <c r="P18" i="1" s="1"/>
  <c r="O16" i="1"/>
  <c r="O17" i="1" s="1"/>
  <c r="O18" i="1" s="1"/>
  <c r="L16" i="1"/>
  <c r="L17" i="1" s="1"/>
  <c r="L18" i="1" s="1"/>
  <c r="K16" i="1"/>
  <c r="K17" i="1" s="1"/>
  <c r="K18" i="1" s="1"/>
  <c r="J16" i="1"/>
  <c r="J17" i="1" s="1"/>
  <c r="J18" i="1" s="1"/>
  <c r="I16" i="1"/>
  <c r="I17" i="1" s="1"/>
  <c r="I18" i="1" s="1"/>
  <c r="H16" i="1"/>
  <c r="H17" i="1" s="1"/>
  <c r="H18" i="1" s="1"/>
  <c r="G16" i="1"/>
  <c r="G17" i="1" s="1"/>
  <c r="G18" i="1" s="1"/>
  <c r="F16" i="1"/>
  <c r="F17" i="1" s="1"/>
  <c r="F18" i="1" s="1"/>
  <c r="E16" i="1"/>
  <c r="E17" i="1" s="1"/>
  <c r="E18" i="1" s="1"/>
  <c r="D16" i="1"/>
  <c r="D17" i="1" s="1"/>
  <c r="D18" i="1" s="1"/>
  <c r="C16" i="1"/>
  <c r="C17" i="1" s="1"/>
  <c r="C18" i="1" s="1"/>
  <c r="B16" i="1"/>
  <c r="B17" i="1" s="1"/>
  <c r="B18" i="1" s="1"/>
  <c r="BZ15" i="1"/>
  <c r="BY15" i="1"/>
  <c r="BZ14" i="1"/>
  <c r="BY14" i="1"/>
  <c r="BZ13" i="1"/>
  <c r="BY13" i="1"/>
  <c r="BZ12" i="1"/>
  <c r="BY12" i="1"/>
  <c r="BZ11" i="1"/>
  <c r="BY11" i="1"/>
  <c r="BZ10" i="1"/>
  <c r="BY10" i="1"/>
  <c r="BZ9" i="1"/>
  <c r="BY9" i="1"/>
  <c r="BZ8" i="1"/>
  <c r="BY8" i="1"/>
  <c r="BZ7" i="1"/>
  <c r="BY7" i="1"/>
  <c r="BZ6" i="1"/>
  <c r="BY6" i="1"/>
  <c r="BZ5" i="1"/>
  <c r="BY5" i="1"/>
  <c r="BZ4" i="1"/>
  <c r="BY4" i="1"/>
  <c r="BZ3" i="1"/>
  <c r="BY3" i="1"/>
  <c r="BZ2" i="1"/>
  <c r="BY2" i="1"/>
</calcChain>
</file>

<file path=xl/sharedStrings.xml><?xml version="1.0" encoding="utf-8"?>
<sst xmlns="http://schemas.openxmlformats.org/spreadsheetml/2006/main" count="114" uniqueCount="102">
  <si>
    <t>Points</t>
  </si>
  <si>
    <t>Game1</t>
  </si>
  <si>
    <t>Game2</t>
  </si>
  <si>
    <t>Game3</t>
  </si>
  <si>
    <t>Game 4</t>
  </si>
  <si>
    <t>Game 5</t>
  </si>
  <si>
    <t>Game 6</t>
  </si>
  <si>
    <t>Game7</t>
  </si>
  <si>
    <t>Game8</t>
  </si>
  <si>
    <t>Game9</t>
  </si>
  <si>
    <t>Game10</t>
  </si>
  <si>
    <t>Game11</t>
  </si>
  <si>
    <t>Game12</t>
  </si>
  <si>
    <t>Game13</t>
  </si>
  <si>
    <t>Game14</t>
  </si>
  <si>
    <t>Game15</t>
  </si>
  <si>
    <t>Game16</t>
  </si>
  <si>
    <t>Game17</t>
  </si>
  <si>
    <t>Game18</t>
  </si>
  <si>
    <t>Game19</t>
  </si>
  <si>
    <t>Game20</t>
  </si>
  <si>
    <t>Game21</t>
  </si>
  <si>
    <t>Game22</t>
  </si>
  <si>
    <t>Game23</t>
  </si>
  <si>
    <t>Game24</t>
  </si>
  <si>
    <t>Game25</t>
  </si>
  <si>
    <t>Game26</t>
  </si>
  <si>
    <t>Game27</t>
  </si>
  <si>
    <t>Game28</t>
  </si>
  <si>
    <t>Game29</t>
  </si>
  <si>
    <t>Game30</t>
  </si>
  <si>
    <t>Game31</t>
  </si>
  <si>
    <t>Game32</t>
  </si>
  <si>
    <t>Game33</t>
  </si>
  <si>
    <t>Game34</t>
  </si>
  <si>
    <t>Game35</t>
  </si>
  <si>
    <t>Game36</t>
  </si>
  <si>
    <t>Game37</t>
  </si>
  <si>
    <t>Game38</t>
  </si>
  <si>
    <t>Game39</t>
  </si>
  <si>
    <t>Game40</t>
  </si>
  <si>
    <t>Game41</t>
  </si>
  <si>
    <t>Game42</t>
  </si>
  <si>
    <t>Game43</t>
  </si>
  <si>
    <t>Game44</t>
  </si>
  <si>
    <t>Game45</t>
  </si>
  <si>
    <t>Game46</t>
  </si>
  <si>
    <t>Game47</t>
  </si>
  <si>
    <t>Game48</t>
  </si>
  <si>
    <t>Game49</t>
  </si>
  <si>
    <t>Game50</t>
  </si>
  <si>
    <t>Game51</t>
  </si>
  <si>
    <t>Gamee52</t>
  </si>
  <si>
    <t>Game53</t>
  </si>
  <si>
    <t>Game54</t>
  </si>
  <si>
    <t>Game55</t>
  </si>
  <si>
    <t>Game56</t>
  </si>
  <si>
    <t>Game57</t>
  </si>
  <si>
    <t>Game58</t>
  </si>
  <si>
    <t>Game59</t>
  </si>
  <si>
    <t>Game60</t>
  </si>
  <si>
    <t>Game61</t>
  </si>
  <si>
    <t>Game62</t>
  </si>
  <si>
    <t>Game63</t>
  </si>
  <si>
    <t>Game64</t>
  </si>
  <si>
    <t>Game65</t>
  </si>
  <si>
    <t>Game66</t>
  </si>
  <si>
    <t>Game67</t>
  </si>
  <si>
    <t>Game68</t>
  </si>
  <si>
    <t>Game69</t>
  </si>
  <si>
    <t>Game70</t>
  </si>
  <si>
    <t>QF1</t>
  </si>
  <si>
    <t>Eleminator</t>
  </si>
  <si>
    <t>QF2</t>
  </si>
  <si>
    <t>Finals</t>
  </si>
  <si>
    <t>Bonus</t>
  </si>
  <si>
    <t>Total</t>
  </si>
  <si>
    <t>Voter Accuracy %</t>
  </si>
  <si>
    <t>Krishna</t>
  </si>
  <si>
    <t>Bonus Votes</t>
  </si>
  <si>
    <t>Senthil</t>
  </si>
  <si>
    <t>RCB</t>
  </si>
  <si>
    <t>GT</t>
  </si>
  <si>
    <t>SRH</t>
  </si>
  <si>
    <t>RR</t>
  </si>
  <si>
    <t>Karthik</t>
  </si>
  <si>
    <t xml:space="preserve">Sai </t>
  </si>
  <si>
    <t>Dinesh</t>
  </si>
  <si>
    <t>Venkat</t>
  </si>
  <si>
    <t>Vijay</t>
  </si>
  <si>
    <t>Hari</t>
  </si>
  <si>
    <t>Kaushal</t>
  </si>
  <si>
    <t>VSR</t>
  </si>
  <si>
    <t>Ram</t>
  </si>
  <si>
    <t>Sarath</t>
  </si>
  <si>
    <t>Suresh</t>
  </si>
  <si>
    <t>Sai</t>
  </si>
  <si>
    <t>Vignesh</t>
  </si>
  <si>
    <t>No of winning voters</t>
  </si>
  <si>
    <t>Majority/Minority</t>
  </si>
  <si>
    <t>0s &amp; 1s</t>
  </si>
  <si>
    <t>Venkataraghavan BI, Kaushal, Suresh Kamyuth, Vijay Xansa, Senthil BI, Krishna, Chess Coach, Sai Mahesh, Ramasubbu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</si>
</sst>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/>
    <xf numFmtId="0" fontId="2" fillId="0" borderId="0" xfId="0" applyFont="1" applyAlignment="1"/>
    <xf numFmtId="0" fontId="4" fillId="2" borderId="0" xfId="0" applyFont="1" applyFill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7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oints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Chart!$A$1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37D-46CC-8C05-F05A1F6F3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556168"/>
        <c:axId val="1769369314"/>
      </c:barChart>
      <c:catAx>
        <c:axId val="274556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9369314"/>
        <c:crosses val="autoZero"/>
        <c:auto val="1"/>
        <c:lblAlgn val="ctr"/>
        <c:lblOffset val="100"/>
        <c:noMultiLvlLbl val="1"/>
      </c:catAx>
      <c:valAx>
        <c:axId val="176936931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745561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5</xdr:row>
      <xdr:rowOff>85725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Z15">
  <tableColumns count="78">
    <tableColumn id="1" xr3:uid="{00000000-0010-0000-0000-000001000000}" name="Points"/>
    <tableColumn id="2" xr3:uid="{00000000-0010-0000-0000-000002000000}" name="Game1"/>
    <tableColumn id="3" xr3:uid="{00000000-0010-0000-0000-000003000000}" name="Game2"/>
    <tableColumn id="4" xr3:uid="{00000000-0010-0000-0000-000004000000}" name="Game3"/>
    <tableColumn id="5" xr3:uid="{00000000-0010-0000-0000-000005000000}" name="Game 4"/>
    <tableColumn id="6" xr3:uid="{00000000-0010-0000-0000-000006000000}" name="Game 5"/>
    <tableColumn id="7" xr3:uid="{00000000-0010-0000-0000-000007000000}" name="Game 6"/>
    <tableColumn id="8" xr3:uid="{00000000-0010-0000-0000-000008000000}" name="Game7"/>
    <tableColumn id="9" xr3:uid="{00000000-0010-0000-0000-000009000000}" name="Game8"/>
    <tableColumn id="10" xr3:uid="{00000000-0010-0000-0000-00000A000000}" name="Game9"/>
    <tableColumn id="11" xr3:uid="{00000000-0010-0000-0000-00000B000000}" name="Game10"/>
    <tableColumn id="12" xr3:uid="{00000000-0010-0000-0000-00000C000000}" name="Game11"/>
    <tableColumn id="13" xr3:uid="{00000000-0010-0000-0000-00000D000000}" name="Game12"/>
    <tableColumn id="14" xr3:uid="{00000000-0010-0000-0000-00000E000000}" name="Game13"/>
    <tableColumn id="15" xr3:uid="{00000000-0010-0000-0000-00000F000000}" name="Game14"/>
    <tableColumn id="16" xr3:uid="{00000000-0010-0000-0000-000010000000}" name="Game15"/>
    <tableColumn id="17" xr3:uid="{00000000-0010-0000-0000-000011000000}" name="Game16"/>
    <tableColumn id="18" xr3:uid="{00000000-0010-0000-0000-000012000000}" name="Game17"/>
    <tableColumn id="19" xr3:uid="{00000000-0010-0000-0000-000013000000}" name="Game18"/>
    <tableColumn id="20" xr3:uid="{00000000-0010-0000-0000-000014000000}" name="Game19"/>
    <tableColumn id="21" xr3:uid="{00000000-0010-0000-0000-000015000000}" name="Game20"/>
    <tableColumn id="22" xr3:uid="{00000000-0010-0000-0000-000016000000}" name="Game21"/>
    <tableColumn id="23" xr3:uid="{00000000-0010-0000-0000-000017000000}" name="Game22"/>
    <tableColumn id="24" xr3:uid="{00000000-0010-0000-0000-000018000000}" name="Game23"/>
    <tableColumn id="25" xr3:uid="{00000000-0010-0000-0000-000019000000}" name="Game24"/>
    <tableColumn id="26" xr3:uid="{00000000-0010-0000-0000-00001A000000}" name="Game25"/>
    <tableColumn id="27" xr3:uid="{00000000-0010-0000-0000-00001B000000}" name="Game26"/>
    <tableColumn id="28" xr3:uid="{00000000-0010-0000-0000-00001C000000}" name="Game27"/>
    <tableColumn id="29" xr3:uid="{00000000-0010-0000-0000-00001D000000}" name="Game28"/>
    <tableColumn id="30" xr3:uid="{00000000-0010-0000-0000-00001E000000}" name="Game29"/>
    <tableColumn id="31" xr3:uid="{00000000-0010-0000-0000-00001F000000}" name="Game30"/>
    <tableColumn id="32" xr3:uid="{00000000-0010-0000-0000-000020000000}" name="Game31"/>
    <tableColumn id="33" xr3:uid="{00000000-0010-0000-0000-000021000000}" name="Game32"/>
    <tableColumn id="34" xr3:uid="{00000000-0010-0000-0000-000022000000}" name="Game33"/>
    <tableColumn id="35" xr3:uid="{00000000-0010-0000-0000-000023000000}" name="Game34"/>
    <tableColumn id="36" xr3:uid="{00000000-0010-0000-0000-000024000000}" name="Game35"/>
    <tableColumn id="37" xr3:uid="{00000000-0010-0000-0000-000025000000}" name="Game36"/>
    <tableColumn id="38" xr3:uid="{00000000-0010-0000-0000-000026000000}" name="Game37"/>
    <tableColumn id="39" xr3:uid="{00000000-0010-0000-0000-000027000000}" name="Game38"/>
    <tableColumn id="40" xr3:uid="{00000000-0010-0000-0000-000028000000}" name="Game39"/>
    <tableColumn id="41" xr3:uid="{00000000-0010-0000-0000-000029000000}" name="Game40"/>
    <tableColumn id="42" xr3:uid="{00000000-0010-0000-0000-00002A000000}" name="Game41"/>
    <tableColumn id="43" xr3:uid="{00000000-0010-0000-0000-00002B000000}" name="Game42"/>
    <tableColumn id="44" xr3:uid="{00000000-0010-0000-0000-00002C000000}" name="Game43"/>
    <tableColumn id="45" xr3:uid="{00000000-0010-0000-0000-00002D000000}" name="Game44"/>
    <tableColumn id="46" xr3:uid="{00000000-0010-0000-0000-00002E000000}" name="Game45"/>
    <tableColumn id="47" xr3:uid="{00000000-0010-0000-0000-00002F000000}" name="Game46"/>
    <tableColumn id="48" xr3:uid="{00000000-0010-0000-0000-000030000000}" name="Game47"/>
    <tableColumn id="49" xr3:uid="{00000000-0010-0000-0000-000031000000}" name="Game48"/>
    <tableColumn id="50" xr3:uid="{00000000-0010-0000-0000-000032000000}" name="Game49"/>
    <tableColumn id="51" xr3:uid="{00000000-0010-0000-0000-000033000000}" name="Game50"/>
    <tableColumn id="52" xr3:uid="{00000000-0010-0000-0000-000034000000}" name="Game51"/>
    <tableColumn id="53" xr3:uid="{00000000-0010-0000-0000-000035000000}" name="Gamee52"/>
    <tableColumn id="54" xr3:uid="{00000000-0010-0000-0000-000036000000}" name="Game53"/>
    <tableColumn id="55" xr3:uid="{00000000-0010-0000-0000-000037000000}" name="Game54"/>
    <tableColumn id="56" xr3:uid="{00000000-0010-0000-0000-000038000000}" name="Game55"/>
    <tableColumn id="57" xr3:uid="{00000000-0010-0000-0000-000039000000}" name="Game56"/>
    <tableColumn id="58" xr3:uid="{00000000-0010-0000-0000-00003A000000}" name="Game57"/>
    <tableColumn id="59" xr3:uid="{00000000-0010-0000-0000-00003B000000}" name="Game58"/>
    <tableColumn id="60" xr3:uid="{00000000-0010-0000-0000-00003C000000}" name="Game59"/>
    <tableColumn id="61" xr3:uid="{00000000-0010-0000-0000-00003D000000}" name="Game60"/>
    <tableColumn id="62" xr3:uid="{00000000-0010-0000-0000-00003E000000}" name="Game61"/>
    <tableColumn id="63" xr3:uid="{00000000-0010-0000-0000-00003F000000}" name="Game62"/>
    <tableColumn id="64" xr3:uid="{00000000-0010-0000-0000-000040000000}" name="Game63"/>
    <tableColumn id="65" xr3:uid="{00000000-0010-0000-0000-000041000000}" name="Game64"/>
    <tableColumn id="66" xr3:uid="{00000000-0010-0000-0000-000042000000}" name="Game65"/>
    <tableColumn id="67" xr3:uid="{00000000-0010-0000-0000-000043000000}" name="Game66"/>
    <tableColumn id="68" xr3:uid="{00000000-0010-0000-0000-000044000000}" name="Game67"/>
    <tableColumn id="69" xr3:uid="{00000000-0010-0000-0000-000045000000}" name="Game68"/>
    <tableColumn id="70" xr3:uid="{00000000-0010-0000-0000-000046000000}" name="Game69"/>
    <tableColumn id="71" xr3:uid="{00000000-0010-0000-0000-000047000000}" name="Game70"/>
    <tableColumn id="72" xr3:uid="{00000000-0010-0000-0000-000048000000}" name="QF1"/>
    <tableColumn id="73" xr3:uid="{00000000-0010-0000-0000-000049000000}" name="Eleminator"/>
    <tableColumn id="74" xr3:uid="{00000000-0010-0000-0000-00004A000000}" name="QF2"/>
    <tableColumn id="75" xr3:uid="{00000000-0010-0000-0000-00004B000000}" name="Finals"/>
    <tableColumn id="76" xr3:uid="{00000000-0010-0000-0000-00004C000000}" name="Bonus"/>
    <tableColumn id="77" xr3:uid="{00000000-0010-0000-0000-00004D000000}" name="Total"/>
    <tableColumn id="78" xr3:uid="{00000000-0010-0000-0000-00004E000000}" name="Voter Accuracy %"/>
  </tableColumns>
  <tableStyleInfo name="Poi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1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8" sqref="M18"/>
    </sheetView>
  </sheetViews>
  <sheetFormatPr defaultColWidth="12.5703125" defaultRowHeight="15.75" customHeight="1" x14ac:dyDescent="0.2"/>
  <cols>
    <col min="1" max="1" width="16.7109375" customWidth="1"/>
    <col min="2" max="5" width="15.42578125" customWidth="1"/>
    <col min="6" max="6" width="14.42578125" customWidth="1"/>
    <col min="78" max="78" width="18.5703125" customWidth="1"/>
  </cols>
  <sheetData>
    <row r="1" spans="1:82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3" t="s">
        <v>76</v>
      </c>
      <c r="BZ1" s="5" t="s">
        <v>77</v>
      </c>
    </row>
    <row r="2" spans="1:82" ht="22.5" customHeight="1" x14ac:dyDescent="0.2">
      <c r="A2" s="6" t="s">
        <v>78</v>
      </c>
      <c r="B2" s="7">
        <v>1</v>
      </c>
      <c r="C2" s="7">
        <v>1</v>
      </c>
      <c r="D2" s="7">
        <v>0</v>
      </c>
      <c r="E2" s="7">
        <v>1</v>
      </c>
      <c r="F2" s="8">
        <v>1</v>
      </c>
      <c r="G2" s="9">
        <v>1</v>
      </c>
      <c r="J2" s="9">
        <v>1</v>
      </c>
      <c r="K2" s="8">
        <v>0</v>
      </c>
      <c r="L2" s="8">
        <v>0</v>
      </c>
      <c r="N2" s="8"/>
      <c r="O2" s="8">
        <v>0</v>
      </c>
      <c r="P2" s="8">
        <v>0</v>
      </c>
      <c r="Q2" s="8">
        <v>1</v>
      </c>
      <c r="R2" s="8">
        <v>1</v>
      </c>
      <c r="S2" s="8">
        <v>1</v>
      </c>
      <c r="T2" s="8">
        <v>0</v>
      </c>
      <c r="U2" s="8">
        <v>1</v>
      </c>
      <c r="V2" s="8">
        <v>0</v>
      </c>
      <c r="W2" s="8">
        <v>1</v>
      </c>
      <c r="X2" s="8">
        <v>0</v>
      </c>
      <c r="Y2" s="8">
        <v>0</v>
      </c>
      <c r="Z2" s="8">
        <v>1</v>
      </c>
      <c r="AA2" s="8">
        <v>0</v>
      </c>
      <c r="AB2" s="8">
        <v>0</v>
      </c>
      <c r="AC2" s="8">
        <v>0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0</v>
      </c>
      <c r="AM2" s="8">
        <v>1</v>
      </c>
      <c r="AN2" s="8">
        <v>1</v>
      </c>
      <c r="AO2" s="8">
        <v>0</v>
      </c>
      <c r="AP2" s="8">
        <v>1</v>
      </c>
      <c r="AQ2" s="8">
        <v>0</v>
      </c>
      <c r="AR2" s="8">
        <v>0</v>
      </c>
      <c r="AS2" s="8">
        <v>1</v>
      </c>
      <c r="AT2" s="8">
        <v>0</v>
      </c>
      <c r="AU2" s="8">
        <v>0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0</v>
      </c>
      <c r="BD2" s="8">
        <v>0</v>
      </c>
      <c r="BE2" s="8">
        <v>0</v>
      </c>
      <c r="BF2" s="8">
        <v>1</v>
      </c>
      <c r="BG2" s="8">
        <v>1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1</v>
      </c>
      <c r="BO2" s="8">
        <v>0</v>
      </c>
      <c r="BP2" s="8">
        <v>1</v>
      </c>
      <c r="BQ2" s="8">
        <v>1</v>
      </c>
      <c r="BR2" s="8">
        <v>1</v>
      </c>
      <c r="BS2" s="8">
        <v>1</v>
      </c>
      <c r="BT2" s="8">
        <v>0</v>
      </c>
      <c r="BU2" s="8">
        <v>0</v>
      </c>
      <c r="BV2" s="8">
        <v>1</v>
      </c>
      <c r="BW2" s="8">
        <v>0</v>
      </c>
      <c r="BX2" s="8"/>
      <c r="BY2" s="8">
        <f t="shared" ref="BY2:BY14" si="0">SUM(B2:BX2)</f>
        <v>39</v>
      </c>
      <c r="BZ2" s="10">
        <f t="shared" ref="BZ2:BZ15" si="1">(COUNTIF(B2:BW2, 1)/COUNTA(B2:BW2))*100</f>
        <v>55.714285714285715</v>
      </c>
      <c r="CA2" s="21" t="s">
        <v>79</v>
      </c>
      <c r="CB2" s="22"/>
      <c r="CC2" s="22"/>
      <c r="CD2" s="22"/>
    </row>
    <row r="3" spans="1:82" ht="22.5" customHeight="1" x14ac:dyDescent="0.2">
      <c r="A3" s="11" t="s">
        <v>80</v>
      </c>
      <c r="B3" s="8">
        <v>1</v>
      </c>
      <c r="C3" s="8">
        <v>1</v>
      </c>
      <c r="D3" s="8">
        <v>1</v>
      </c>
      <c r="E3" s="8">
        <v>0</v>
      </c>
      <c r="F3" s="8">
        <v>1</v>
      </c>
      <c r="G3" s="9">
        <v>0</v>
      </c>
      <c r="H3" s="9">
        <v>0</v>
      </c>
      <c r="I3" s="9">
        <v>0</v>
      </c>
      <c r="J3" s="9">
        <v>0</v>
      </c>
      <c r="K3" s="8">
        <v>0</v>
      </c>
      <c r="L3" s="8">
        <v>0</v>
      </c>
      <c r="N3" s="8">
        <v>1</v>
      </c>
      <c r="O3" s="8">
        <v>0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0</v>
      </c>
      <c r="W3" s="8">
        <v>1</v>
      </c>
      <c r="X3" s="8">
        <v>1</v>
      </c>
      <c r="Y3" s="8">
        <v>1</v>
      </c>
      <c r="Z3" s="8">
        <v>1</v>
      </c>
      <c r="AA3" s="8">
        <v>0</v>
      </c>
      <c r="AB3" s="8">
        <v>0</v>
      </c>
      <c r="AC3" s="8">
        <v>0</v>
      </c>
      <c r="AD3" s="8">
        <v>1</v>
      </c>
      <c r="AE3" s="8">
        <v>0</v>
      </c>
      <c r="AF3" s="8">
        <v>0</v>
      </c>
      <c r="AG3" s="8">
        <v>1</v>
      </c>
      <c r="AH3" s="8">
        <v>1</v>
      </c>
      <c r="AI3" s="8">
        <v>1</v>
      </c>
      <c r="AJ3" s="8">
        <v>1</v>
      </c>
      <c r="AK3" s="8">
        <v>0</v>
      </c>
      <c r="AL3" s="8">
        <v>0</v>
      </c>
      <c r="AM3" s="8">
        <v>1</v>
      </c>
      <c r="AN3" s="8">
        <v>1</v>
      </c>
      <c r="AO3" s="8">
        <v>0</v>
      </c>
      <c r="AP3" s="8">
        <v>0</v>
      </c>
      <c r="AQ3" s="8">
        <v>0</v>
      </c>
      <c r="AR3" s="8">
        <v>0</v>
      </c>
      <c r="AS3" s="8">
        <v>1</v>
      </c>
      <c r="AT3" s="8">
        <v>0</v>
      </c>
      <c r="AU3" s="8">
        <v>1</v>
      </c>
      <c r="AV3" s="8">
        <v>1</v>
      </c>
      <c r="AW3" s="8">
        <v>1</v>
      </c>
      <c r="AX3" s="8">
        <v>0</v>
      </c>
      <c r="AY3" s="8">
        <v>0</v>
      </c>
      <c r="AZ3" s="8">
        <v>1</v>
      </c>
      <c r="BA3" s="8">
        <v>0</v>
      </c>
      <c r="BB3" s="8">
        <v>1</v>
      </c>
      <c r="BC3" s="8">
        <v>1</v>
      </c>
      <c r="BD3" s="8">
        <v>0</v>
      </c>
      <c r="BE3" s="8">
        <v>1</v>
      </c>
      <c r="BF3" s="8">
        <v>1</v>
      </c>
      <c r="BG3" s="8">
        <v>1</v>
      </c>
      <c r="BH3" s="8">
        <v>0</v>
      </c>
      <c r="BI3" s="8">
        <v>0</v>
      </c>
      <c r="BJ3" s="8">
        <v>1</v>
      </c>
      <c r="BK3" s="8">
        <v>0</v>
      </c>
      <c r="BL3" s="8">
        <v>0</v>
      </c>
      <c r="BM3" s="8">
        <v>1</v>
      </c>
      <c r="BN3" s="8">
        <v>1</v>
      </c>
      <c r="BO3" s="8">
        <v>1</v>
      </c>
      <c r="BP3" s="8">
        <v>0</v>
      </c>
      <c r="BQ3" s="8">
        <v>1</v>
      </c>
      <c r="BR3" s="8">
        <v>1</v>
      </c>
      <c r="BS3" s="8">
        <v>0</v>
      </c>
      <c r="BT3" s="8">
        <v>0</v>
      </c>
      <c r="BU3" s="8">
        <v>1</v>
      </c>
      <c r="BV3" s="8">
        <v>1</v>
      </c>
      <c r="BW3" s="8">
        <v>0</v>
      </c>
      <c r="BX3" s="8"/>
      <c r="BY3" s="8">
        <f t="shared" si="0"/>
        <v>39</v>
      </c>
      <c r="BZ3" s="10">
        <f t="shared" si="1"/>
        <v>53.424657534246577</v>
      </c>
      <c r="CA3" s="12" t="s">
        <v>81</v>
      </c>
      <c r="CB3" s="13" t="s">
        <v>82</v>
      </c>
      <c r="CC3" s="13" t="s">
        <v>83</v>
      </c>
      <c r="CD3" s="13" t="s">
        <v>84</v>
      </c>
    </row>
    <row r="4" spans="1:82" ht="22.5" customHeight="1" x14ac:dyDescent="0.2">
      <c r="A4" s="6" t="s">
        <v>85</v>
      </c>
      <c r="B4" s="7">
        <v>0</v>
      </c>
      <c r="C4" s="7">
        <v>0</v>
      </c>
      <c r="D4" s="7">
        <v>1</v>
      </c>
      <c r="E4" s="7">
        <v>0</v>
      </c>
      <c r="F4" s="8">
        <v>0</v>
      </c>
      <c r="G4" s="9">
        <v>1</v>
      </c>
      <c r="H4" s="9">
        <v>0</v>
      </c>
      <c r="I4" s="9">
        <v>1</v>
      </c>
      <c r="J4" s="9">
        <v>1</v>
      </c>
      <c r="K4" s="8">
        <v>0</v>
      </c>
      <c r="L4" s="8">
        <v>0</v>
      </c>
      <c r="N4" s="8">
        <v>1</v>
      </c>
      <c r="O4" s="8">
        <v>1</v>
      </c>
      <c r="P4" s="8">
        <v>0</v>
      </c>
      <c r="Q4" s="8">
        <v>1</v>
      </c>
      <c r="R4" s="8">
        <v>1</v>
      </c>
      <c r="S4" s="8">
        <v>0</v>
      </c>
      <c r="T4" s="8">
        <v>1</v>
      </c>
      <c r="U4" s="8">
        <v>1</v>
      </c>
      <c r="V4" s="8">
        <v>0</v>
      </c>
      <c r="W4" s="8">
        <v>0</v>
      </c>
      <c r="X4" s="8">
        <v>0</v>
      </c>
      <c r="Y4" s="8">
        <v>0</v>
      </c>
      <c r="Z4" s="8">
        <v>1</v>
      </c>
      <c r="AA4" s="8">
        <v>1</v>
      </c>
      <c r="AB4" s="8">
        <v>1</v>
      </c>
      <c r="AC4" s="8">
        <v>0</v>
      </c>
      <c r="AD4" s="8">
        <v>1</v>
      </c>
      <c r="AE4" s="8">
        <v>0</v>
      </c>
      <c r="AF4" s="8">
        <v>0</v>
      </c>
      <c r="AG4" s="8">
        <v>1</v>
      </c>
      <c r="AH4" s="8">
        <v>0</v>
      </c>
      <c r="AI4" s="8">
        <v>0</v>
      </c>
      <c r="AJ4" s="8">
        <v>1</v>
      </c>
      <c r="AK4" s="8">
        <v>0</v>
      </c>
      <c r="AL4" s="8">
        <v>1</v>
      </c>
      <c r="AM4" s="8">
        <v>0</v>
      </c>
      <c r="AN4" s="8">
        <v>0</v>
      </c>
      <c r="AO4" s="8">
        <v>1</v>
      </c>
      <c r="AP4" s="8">
        <v>0</v>
      </c>
      <c r="AQ4" s="8">
        <v>1</v>
      </c>
      <c r="AR4" s="8">
        <v>0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1</v>
      </c>
      <c r="AY4" s="8">
        <v>1</v>
      </c>
      <c r="AZ4" s="8">
        <v>1</v>
      </c>
      <c r="BA4" s="8">
        <v>0</v>
      </c>
      <c r="BB4" s="8">
        <v>0</v>
      </c>
      <c r="BC4" s="8">
        <v>0</v>
      </c>
      <c r="BD4" s="8">
        <v>1</v>
      </c>
      <c r="BE4" s="8">
        <v>1</v>
      </c>
      <c r="BF4" s="8">
        <v>0</v>
      </c>
      <c r="BG4" s="8">
        <v>1</v>
      </c>
      <c r="BH4" s="8">
        <v>1</v>
      </c>
      <c r="BI4" s="8">
        <v>1</v>
      </c>
      <c r="BJ4" s="8">
        <v>1</v>
      </c>
      <c r="BK4" s="8">
        <v>1</v>
      </c>
      <c r="BL4" s="8">
        <v>1</v>
      </c>
      <c r="BM4" s="8">
        <v>1</v>
      </c>
      <c r="BN4" s="8">
        <v>1</v>
      </c>
      <c r="BO4" s="8">
        <v>1</v>
      </c>
      <c r="BP4" s="8">
        <v>0</v>
      </c>
      <c r="BQ4" s="8">
        <v>1</v>
      </c>
      <c r="BR4" s="8">
        <v>1</v>
      </c>
      <c r="BS4" s="8">
        <v>1</v>
      </c>
      <c r="BT4" s="8">
        <v>0</v>
      </c>
      <c r="BU4" s="8">
        <v>1</v>
      </c>
      <c r="BV4" s="8">
        <v>1</v>
      </c>
      <c r="BW4" s="8">
        <v>0</v>
      </c>
      <c r="BX4" s="8"/>
      <c r="BY4" s="8">
        <f t="shared" si="0"/>
        <v>39</v>
      </c>
      <c r="BZ4" s="10">
        <f t="shared" si="1"/>
        <v>53.424657534246577</v>
      </c>
      <c r="CA4" s="14" t="s">
        <v>86</v>
      </c>
      <c r="CB4" s="15" t="s">
        <v>87</v>
      </c>
      <c r="CC4" s="15" t="s">
        <v>88</v>
      </c>
      <c r="CD4" s="15" t="s">
        <v>89</v>
      </c>
    </row>
    <row r="5" spans="1:82" ht="22.5" customHeight="1" x14ac:dyDescent="0.2">
      <c r="A5" s="6" t="s">
        <v>87</v>
      </c>
      <c r="B5" s="7">
        <v>1</v>
      </c>
      <c r="C5" s="7">
        <v>1</v>
      </c>
      <c r="D5" s="7">
        <v>1</v>
      </c>
      <c r="E5" s="7">
        <v>1</v>
      </c>
      <c r="F5" s="8">
        <v>1</v>
      </c>
      <c r="G5" s="9">
        <v>0</v>
      </c>
      <c r="H5" s="9">
        <v>1</v>
      </c>
      <c r="I5" s="9">
        <v>0</v>
      </c>
      <c r="J5" s="9">
        <v>1</v>
      </c>
      <c r="K5" s="8">
        <v>0</v>
      </c>
      <c r="L5" s="8">
        <v>1</v>
      </c>
      <c r="N5" s="8">
        <v>0</v>
      </c>
      <c r="O5" s="8">
        <v>0</v>
      </c>
      <c r="P5" s="8">
        <v>1</v>
      </c>
      <c r="Q5" s="8">
        <v>1</v>
      </c>
      <c r="R5" s="8">
        <v>1</v>
      </c>
      <c r="S5" s="8">
        <v>0</v>
      </c>
      <c r="T5" s="8">
        <v>0</v>
      </c>
      <c r="U5" s="8">
        <v>0</v>
      </c>
      <c r="V5" s="8">
        <v>0</v>
      </c>
      <c r="W5" s="8">
        <v>1</v>
      </c>
      <c r="X5" s="8">
        <v>1</v>
      </c>
      <c r="Y5" s="8">
        <v>1</v>
      </c>
      <c r="Z5" s="8">
        <v>1</v>
      </c>
      <c r="AA5" s="8">
        <v>0</v>
      </c>
      <c r="AB5" s="8">
        <v>1</v>
      </c>
      <c r="AC5" s="8">
        <v>0</v>
      </c>
      <c r="AD5" s="8">
        <v>1</v>
      </c>
      <c r="AE5" s="8">
        <v>0</v>
      </c>
      <c r="AF5" s="8">
        <v>0</v>
      </c>
      <c r="AG5" s="8">
        <v>1</v>
      </c>
      <c r="AH5" s="8">
        <v>0</v>
      </c>
      <c r="AI5" s="8">
        <v>1</v>
      </c>
      <c r="AJ5" s="8">
        <v>0</v>
      </c>
      <c r="AK5" s="8">
        <v>1</v>
      </c>
      <c r="AL5" s="8">
        <v>0</v>
      </c>
      <c r="AM5" s="8">
        <v>0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0</v>
      </c>
      <c r="AT5" s="8">
        <v>0</v>
      </c>
      <c r="AU5" s="8">
        <v>1</v>
      </c>
      <c r="AV5" s="8">
        <v>0</v>
      </c>
      <c r="AW5" s="8">
        <v>0</v>
      </c>
      <c r="AX5" s="8">
        <v>1</v>
      </c>
      <c r="AY5" s="8">
        <v>0</v>
      </c>
      <c r="AZ5" s="8">
        <v>1</v>
      </c>
      <c r="BA5" s="8">
        <v>0</v>
      </c>
      <c r="BB5" s="8">
        <v>0</v>
      </c>
      <c r="BC5" s="8">
        <v>1</v>
      </c>
      <c r="BD5" s="8">
        <v>0</v>
      </c>
      <c r="BE5" s="8">
        <v>0</v>
      </c>
      <c r="BF5" s="8">
        <v>1</v>
      </c>
      <c r="BG5" s="8">
        <v>1</v>
      </c>
      <c r="BH5" s="8">
        <v>0</v>
      </c>
      <c r="BI5" s="8">
        <v>0</v>
      </c>
      <c r="BJ5" s="8">
        <v>0</v>
      </c>
      <c r="BK5" s="8">
        <v>1</v>
      </c>
      <c r="BL5" s="8">
        <v>0</v>
      </c>
      <c r="BM5" s="8">
        <v>1</v>
      </c>
      <c r="BN5" s="8">
        <v>1</v>
      </c>
      <c r="BO5" s="8">
        <v>1</v>
      </c>
      <c r="BP5" s="8">
        <v>1</v>
      </c>
      <c r="BQ5" s="8">
        <v>1</v>
      </c>
      <c r="BR5" s="8">
        <v>1</v>
      </c>
      <c r="BS5" s="8">
        <v>0</v>
      </c>
      <c r="BT5" s="8">
        <v>0</v>
      </c>
      <c r="BU5" s="8">
        <v>0</v>
      </c>
      <c r="BV5" s="8">
        <v>0</v>
      </c>
      <c r="BW5" s="8">
        <v>1</v>
      </c>
      <c r="BX5" s="8"/>
      <c r="BY5" s="8">
        <f t="shared" si="0"/>
        <v>39</v>
      </c>
      <c r="BZ5" s="10">
        <f t="shared" si="1"/>
        <v>53.424657534246577</v>
      </c>
      <c r="CA5" s="14" t="s">
        <v>90</v>
      </c>
      <c r="CB5" s="15" t="s">
        <v>91</v>
      </c>
      <c r="CC5" s="15" t="s">
        <v>92</v>
      </c>
      <c r="CD5" s="15" t="s">
        <v>93</v>
      </c>
    </row>
    <row r="6" spans="1:82" ht="22.5" customHeight="1" x14ac:dyDescent="0.2">
      <c r="A6" s="11" t="s">
        <v>91</v>
      </c>
      <c r="B6" s="8"/>
      <c r="C6" s="8">
        <v>1</v>
      </c>
      <c r="D6" s="8">
        <v>1</v>
      </c>
      <c r="E6" s="8">
        <v>1</v>
      </c>
      <c r="F6" s="8">
        <v>1</v>
      </c>
      <c r="G6" s="9">
        <v>1</v>
      </c>
      <c r="H6" s="9">
        <v>1</v>
      </c>
      <c r="I6" s="9">
        <v>0</v>
      </c>
      <c r="J6" s="9">
        <v>1</v>
      </c>
      <c r="K6" s="8">
        <v>0</v>
      </c>
      <c r="L6" s="8">
        <v>1</v>
      </c>
      <c r="N6" s="8">
        <v>1</v>
      </c>
      <c r="O6" s="8">
        <v>0</v>
      </c>
      <c r="P6" s="8">
        <v>1</v>
      </c>
      <c r="Q6" s="8">
        <v>1</v>
      </c>
      <c r="R6" s="8">
        <v>1</v>
      </c>
      <c r="S6" s="8">
        <v>0</v>
      </c>
      <c r="T6" s="8">
        <v>1</v>
      </c>
      <c r="U6" s="8">
        <v>0</v>
      </c>
      <c r="V6" s="8">
        <v>0</v>
      </c>
      <c r="W6" s="8">
        <v>1</v>
      </c>
      <c r="X6" s="8">
        <v>1</v>
      </c>
      <c r="Y6" s="8">
        <v>1</v>
      </c>
      <c r="Z6" s="8">
        <v>1</v>
      </c>
      <c r="AA6" s="8">
        <v>0</v>
      </c>
      <c r="AB6" s="8">
        <v>0</v>
      </c>
      <c r="AC6" s="8">
        <v>0</v>
      </c>
      <c r="AD6" s="8">
        <v>1</v>
      </c>
      <c r="AE6" s="8">
        <v>0</v>
      </c>
      <c r="AF6" s="8">
        <v>0</v>
      </c>
      <c r="AG6" s="8">
        <v>1</v>
      </c>
      <c r="AH6" s="8">
        <v>0</v>
      </c>
      <c r="AI6" s="8">
        <v>1</v>
      </c>
      <c r="AJ6" s="8">
        <v>1</v>
      </c>
      <c r="AK6" s="8">
        <v>1</v>
      </c>
      <c r="AL6" s="8">
        <v>0</v>
      </c>
      <c r="AM6" s="8">
        <v>1</v>
      </c>
      <c r="AN6" s="8"/>
      <c r="AO6" s="8">
        <v>0</v>
      </c>
      <c r="AP6" s="8">
        <v>1</v>
      </c>
      <c r="AQ6" s="8">
        <v>0</v>
      </c>
      <c r="AR6" s="8">
        <v>0</v>
      </c>
      <c r="AS6" s="8">
        <v>0</v>
      </c>
      <c r="AT6" s="8">
        <v>0</v>
      </c>
      <c r="AU6" s="8">
        <v>1</v>
      </c>
      <c r="AV6" s="8">
        <v>0</v>
      </c>
      <c r="AW6" s="8">
        <v>1</v>
      </c>
      <c r="AX6" s="8">
        <v>0</v>
      </c>
      <c r="AY6" s="8">
        <v>0</v>
      </c>
      <c r="AZ6" s="8">
        <v>0</v>
      </c>
      <c r="BA6" s="8">
        <v>1</v>
      </c>
      <c r="BB6" s="8">
        <v>1</v>
      </c>
      <c r="BC6" s="8">
        <v>1</v>
      </c>
      <c r="BD6" s="8">
        <v>0</v>
      </c>
      <c r="BE6" s="8">
        <v>1</v>
      </c>
      <c r="BF6" s="8">
        <v>1</v>
      </c>
      <c r="BG6" s="8">
        <v>0</v>
      </c>
      <c r="BH6" s="8">
        <v>0</v>
      </c>
      <c r="BI6" s="8">
        <v>0</v>
      </c>
      <c r="BJ6" s="8">
        <v>1</v>
      </c>
      <c r="BK6" s="8">
        <v>0</v>
      </c>
      <c r="BL6" s="8"/>
      <c r="BM6" s="8">
        <v>0</v>
      </c>
      <c r="BN6" s="8">
        <v>1</v>
      </c>
      <c r="BO6" s="8">
        <v>1</v>
      </c>
      <c r="BP6" s="8">
        <v>0</v>
      </c>
      <c r="BQ6" s="8">
        <v>1</v>
      </c>
      <c r="BR6" s="8">
        <v>1</v>
      </c>
      <c r="BS6" s="8">
        <v>0</v>
      </c>
      <c r="BT6" s="8">
        <v>0</v>
      </c>
      <c r="BU6" s="8">
        <v>0</v>
      </c>
      <c r="BV6" s="8">
        <v>1</v>
      </c>
      <c r="BW6" s="8">
        <v>0</v>
      </c>
      <c r="BX6" s="8"/>
      <c r="BY6" s="8">
        <f t="shared" si="0"/>
        <v>37</v>
      </c>
      <c r="BZ6" s="10">
        <f t="shared" si="1"/>
        <v>52.857142857142861</v>
      </c>
      <c r="CB6" s="15" t="s">
        <v>94</v>
      </c>
      <c r="CC6" s="15" t="s">
        <v>95</v>
      </c>
    </row>
    <row r="7" spans="1:82" ht="22.5" customHeight="1" x14ac:dyDescent="0.2">
      <c r="A7" s="16" t="s">
        <v>90</v>
      </c>
      <c r="B7" s="17">
        <v>0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0</v>
      </c>
      <c r="I7" s="17">
        <v>0</v>
      </c>
      <c r="J7" s="17">
        <v>0</v>
      </c>
      <c r="K7" s="17">
        <v>0</v>
      </c>
      <c r="L7" s="17">
        <v>1</v>
      </c>
      <c r="N7" s="17">
        <v>0</v>
      </c>
      <c r="O7" s="17">
        <v>0</v>
      </c>
      <c r="P7" s="17">
        <v>1</v>
      </c>
      <c r="Q7" s="17">
        <v>1</v>
      </c>
      <c r="R7" s="17">
        <v>1</v>
      </c>
      <c r="S7" s="17">
        <v>0</v>
      </c>
      <c r="T7" s="17">
        <v>0</v>
      </c>
      <c r="U7" s="17">
        <v>0</v>
      </c>
      <c r="V7" s="17">
        <v>0</v>
      </c>
      <c r="W7" s="17">
        <v>1</v>
      </c>
      <c r="X7" s="17">
        <v>1</v>
      </c>
      <c r="Y7" s="17">
        <v>0</v>
      </c>
      <c r="Z7" s="17">
        <v>1</v>
      </c>
      <c r="AA7" s="17">
        <v>0</v>
      </c>
      <c r="AB7" s="17">
        <v>0</v>
      </c>
      <c r="AC7" s="17">
        <v>0</v>
      </c>
      <c r="AD7" s="17">
        <v>1</v>
      </c>
      <c r="AE7" s="17">
        <v>1</v>
      </c>
      <c r="AF7" s="17">
        <v>0</v>
      </c>
      <c r="AG7" s="17">
        <v>1</v>
      </c>
      <c r="AH7" s="17">
        <v>0</v>
      </c>
      <c r="AI7" s="17">
        <v>1</v>
      </c>
      <c r="AJ7" s="17">
        <v>1</v>
      </c>
      <c r="AK7" s="17">
        <v>0</v>
      </c>
      <c r="AL7" s="17">
        <v>1</v>
      </c>
      <c r="AM7" s="17">
        <v>0</v>
      </c>
      <c r="AN7" s="17">
        <v>1</v>
      </c>
      <c r="AO7" s="17">
        <v>1</v>
      </c>
      <c r="AP7" s="17">
        <v>0</v>
      </c>
      <c r="AQ7" s="17">
        <v>0</v>
      </c>
      <c r="AR7" s="17">
        <v>1</v>
      </c>
      <c r="AS7" s="17">
        <v>0</v>
      </c>
      <c r="AT7" s="17">
        <v>0</v>
      </c>
      <c r="AU7" s="17">
        <v>1</v>
      </c>
      <c r="AV7" s="17">
        <v>1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1</v>
      </c>
      <c r="BD7" s="17">
        <v>0</v>
      </c>
      <c r="BE7" s="17">
        <v>1</v>
      </c>
      <c r="BF7" s="17">
        <v>1</v>
      </c>
      <c r="BG7" s="17">
        <v>1</v>
      </c>
      <c r="BH7" s="17">
        <v>0</v>
      </c>
      <c r="BI7" s="17">
        <v>1</v>
      </c>
      <c r="BJ7" s="17">
        <v>0</v>
      </c>
      <c r="BK7" s="17">
        <v>0</v>
      </c>
      <c r="BL7" s="17">
        <v>0</v>
      </c>
      <c r="BM7" s="17">
        <v>1</v>
      </c>
      <c r="BN7" s="17"/>
      <c r="BO7" s="17">
        <v>1</v>
      </c>
      <c r="BP7" s="17">
        <v>0</v>
      </c>
      <c r="BQ7" s="17">
        <v>1</v>
      </c>
      <c r="BR7" s="17">
        <v>0</v>
      </c>
      <c r="BS7" s="17">
        <v>0</v>
      </c>
      <c r="BT7" s="17">
        <v>1</v>
      </c>
      <c r="BU7" s="17">
        <v>0</v>
      </c>
      <c r="BV7" s="17">
        <v>0</v>
      </c>
      <c r="BW7" s="17">
        <v>1</v>
      </c>
      <c r="BX7" s="8">
        <v>4</v>
      </c>
      <c r="BY7" s="8">
        <f t="shared" si="0"/>
        <v>37</v>
      </c>
      <c r="BZ7" s="10">
        <f t="shared" si="1"/>
        <v>45.833333333333329</v>
      </c>
      <c r="CB7" s="15" t="s">
        <v>80</v>
      </c>
      <c r="CC7" s="15" t="s">
        <v>78</v>
      </c>
    </row>
    <row r="8" spans="1:82" ht="22.5" customHeight="1" x14ac:dyDescent="0.2">
      <c r="A8" s="6" t="s">
        <v>96</v>
      </c>
      <c r="B8" s="7">
        <v>1</v>
      </c>
      <c r="C8" s="7">
        <v>0</v>
      </c>
      <c r="D8" s="7">
        <v>1</v>
      </c>
      <c r="E8" s="7">
        <v>1</v>
      </c>
      <c r="F8" s="8">
        <v>1</v>
      </c>
      <c r="G8" s="9">
        <v>0</v>
      </c>
      <c r="H8" s="9">
        <v>1</v>
      </c>
      <c r="I8" s="9">
        <v>0</v>
      </c>
      <c r="J8" s="9">
        <v>1</v>
      </c>
      <c r="K8" s="8">
        <v>0</v>
      </c>
      <c r="L8" s="8">
        <v>1</v>
      </c>
      <c r="N8" s="8">
        <v>0</v>
      </c>
      <c r="O8" s="8">
        <v>1</v>
      </c>
      <c r="P8" s="8">
        <v>1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1</v>
      </c>
      <c r="Z8" s="8">
        <v>0</v>
      </c>
      <c r="AA8" s="8">
        <v>0</v>
      </c>
      <c r="AB8" s="8">
        <v>1</v>
      </c>
      <c r="AC8" s="8">
        <v>1</v>
      </c>
      <c r="AD8" s="8">
        <v>1</v>
      </c>
      <c r="AE8" s="8">
        <v>0</v>
      </c>
      <c r="AF8" s="8">
        <v>1</v>
      </c>
      <c r="AG8" s="8">
        <v>1</v>
      </c>
      <c r="AH8" s="8">
        <v>0</v>
      </c>
      <c r="AI8" s="8">
        <v>1</v>
      </c>
      <c r="AJ8" s="8">
        <v>1</v>
      </c>
      <c r="AK8" s="8">
        <v>0</v>
      </c>
      <c r="AL8" s="8">
        <v>0</v>
      </c>
      <c r="AM8" s="8">
        <v>0</v>
      </c>
      <c r="AN8" s="8">
        <v>1</v>
      </c>
      <c r="AO8" s="8">
        <v>0</v>
      </c>
      <c r="AP8" s="8">
        <v>1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1</v>
      </c>
      <c r="BD8" s="8">
        <v>0</v>
      </c>
      <c r="BE8" s="8">
        <v>0</v>
      </c>
      <c r="BF8" s="8">
        <v>0</v>
      </c>
      <c r="BG8" s="8">
        <v>0</v>
      </c>
      <c r="BH8" s="8">
        <v>1</v>
      </c>
      <c r="BI8" s="8">
        <v>0</v>
      </c>
      <c r="BJ8" s="8">
        <v>0</v>
      </c>
      <c r="BK8" s="8">
        <v>0</v>
      </c>
      <c r="BL8" s="8">
        <v>1</v>
      </c>
      <c r="BM8" s="8">
        <v>0</v>
      </c>
      <c r="BN8" s="8">
        <v>1</v>
      </c>
      <c r="BO8" s="8">
        <v>0</v>
      </c>
      <c r="BP8" s="8">
        <v>0</v>
      </c>
      <c r="BQ8" s="8">
        <v>1</v>
      </c>
      <c r="BR8" s="8">
        <v>0</v>
      </c>
      <c r="BS8" s="8">
        <v>0</v>
      </c>
      <c r="BT8" s="8">
        <v>1</v>
      </c>
      <c r="BU8" s="8">
        <v>0</v>
      </c>
      <c r="BV8" s="8">
        <v>1</v>
      </c>
      <c r="BW8" s="8">
        <v>1</v>
      </c>
      <c r="BX8" s="8">
        <v>4</v>
      </c>
      <c r="BY8" s="8">
        <f t="shared" si="0"/>
        <v>35</v>
      </c>
      <c r="BZ8" s="10">
        <f t="shared" si="1"/>
        <v>42.465753424657535</v>
      </c>
      <c r="CB8" s="15" t="s">
        <v>85</v>
      </c>
    </row>
    <row r="9" spans="1:82" ht="22.5" customHeight="1" x14ac:dyDescent="0.2">
      <c r="A9" s="11" t="s">
        <v>95</v>
      </c>
      <c r="B9" s="7">
        <v>0</v>
      </c>
      <c r="C9" s="8">
        <v>1</v>
      </c>
      <c r="D9" s="7">
        <v>0</v>
      </c>
      <c r="E9" s="8">
        <v>1</v>
      </c>
      <c r="F9" s="8">
        <v>1</v>
      </c>
      <c r="G9" s="9">
        <v>1</v>
      </c>
      <c r="H9" s="9">
        <v>1</v>
      </c>
      <c r="I9" s="9">
        <v>0</v>
      </c>
      <c r="J9" s="9">
        <v>1</v>
      </c>
      <c r="K9" s="8">
        <v>0</v>
      </c>
      <c r="L9" s="8">
        <v>0</v>
      </c>
      <c r="N9" s="8">
        <v>1</v>
      </c>
      <c r="O9" s="8">
        <v>0</v>
      </c>
      <c r="P9" s="8">
        <v>1</v>
      </c>
      <c r="Q9" s="8">
        <v>1</v>
      </c>
      <c r="R9" s="8">
        <v>1</v>
      </c>
      <c r="S9" s="8">
        <v>1</v>
      </c>
      <c r="T9" s="8">
        <v>0</v>
      </c>
      <c r="U9" s="8">
        <v>0</v>
      </c>
      <c r="V9" s="8">
        <v>0</v>
      </c>
      <c r="W9" s="8">
        <v>1</v>
      </c>
      <c r="X9" s="8">
        <v>1</v>
      </c>
      <c r="Y9" s="8">
        <v>1</v>
      </c>
      <c r="Z9" s="8">
        <v>1</v>
      </c>
      <c r="AA9" s="8">
        <v>0</v>
      </c>
      <c r="AB9" s="8">
        <v>1</v>
      </c>
      <c r="AC9" s="8">
        <v>0</v>
      </c>
      <c r="AD9" s="8">
        <v>1</v>
      </c>
      <c r="AE9" s="8">
        <v>0</v>
      </c>
      <c r="AF9" s="8">
        <v>1</v>
      </c>
      <c r="AG9" s="8">
        <v>1</v>
      </c>
      <c r="AH9" s="8">
        <v>0</v>
      </c>
      <c r="AI9" s="8">
        <v>1</v>
      </c>
      <c r="AJ9" s="8">
        <v>1</v>
      </c>
      <c r="AK9" s="8">
        <v>0</v>
      </c>
      <c r="AL9" s="8">
        <v>0</v>
      </c>
      <c r="AM9" s="8">
        <v>1</v>
      </c>
      <c r="AN9" s="8">
        <v>1</v>
      </c>
      <c r="AO9" s="8">
        <v>0</v>
      </c>
      <c r="AP9" s="8">
        <v>1</v>
      </c>
      <c r="AQ9" s="8">
        <v>0</v>
      </c>
      <c r="AR9" s="8">
        <v>0</v>
      </c>
      <c r="AS9" s="8">
        <v>1</v>
      </c>
      <c r="AT9" s="8">
        <v>0</v>
      </c>
      <c r="AU9" s="8">
        <v>0</v>
      </c>
      <c r="AV9" s="8">
        <v>1</v>
      </c>
      <c r="AW9" s="8">
        <v>1</v>
      </c>
      <c r="AX9" s="8">
        <v>0</v>
      </c>
      <c r="AY9" s="8">
        <v>0</v>
      </c>
      <c r="AZ9" s="8">
        <v>1</v>
      </c>
      <c r="BA9" s="8">
        <v>0</v>
      </c>
      <c r="BB9" s="8">
        <v>1</v>
      </c>
      <c r="BC9" s="8">
        <v>0</v>
      </c>
      <c r="BD9" s="8">
        <v>0</v>
      </c>
      <c r="BE9" s="8">
        <v>0</v>
      </c>
      <c r="BF9" s="8"/>
      <c r="BG9" s="8">
        <v>0</v>
      </c>
      <c r="BH9" s="8">
        <v>0</v>
      </c>
      <c r="BI9" s="8">
        <v>0</v>
      </c>
      <c r="BJ9" s="8">
        <v>0</v>
      </c>
      <c r="BK9" s="8">
        <v>1</v>
      </c>
      <c r="BL9" s="8">
        <v>0</v>
      </c>
      <c r="BM9" s="8">
        <v>0</v>
      </c>
      <c r="BN9" s="8">
        <v>1</v>
      </c>
      <c r="BO9" s="8">
        <v>0</v>
      </c>
      <c r="BP9" s="8">
        <v>1</v>
      </c>
      <c r="BQ9" s="8">
        <v>1</v>
      </c>
      <c r="BR9" s="8">
        <v>1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/>
      <c r="BY9" s="8">
        <f t="shared" si="0"/>
        <v>34</v>
      </c>
      <c r="BZ9" s="10">
        <f t="shared" si="1"/>
        <v>47.222222222222221</v>
      </c>
    </row>
    <row r="10" spans="1:82" ht="22.5" customHeight="1" x14ac:dyDescent="0.2">
      <c r="A10" s="6" t="s">
        <v>88</v>
      </c>
      <c r="B10" s="7"/>
      <c r="C10" s="7">
        <v>1</v>
      </c>
      <c r="D10" s="7">
        <v>0</v>
      </c>
      <c r="E10" s="7">
        <v>1</v>
      </c>
      <c r="F10" s="8">
        <v>1</v>
      </c>
      <c r="G10" s="9">
        <v>0</v>
      </c>
      <c r="H10" s="9">
        <v>0</v>
      </c>
      <c r="I10" s="9">
        <v>0</v>
      </c>
      <c r="J10" s="9">
        <v>1</v>
      </c>
      <c r="K10" s="8">
        <v>0</v>
      </c>
      <c r="L10" s="8">
        <v>1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0</v>
      </c>
      <c r="W10" s="8">
        <v>1</v>
      </c>
      <c r="X10" s="8">
        <v>1</v>
      </c>
      <c r="Y10" s="8">
        <v>1</v>
      </c>
      <c r="Z10" s="8"/>
      <c r="AA10" s="8">
        <v>0</v>
      </c>
      <c r="AB10" s="8">
        <v>0</v>
      </c>
      <c r="AC10" s="8"/>
      <c r="AD10" s="8">
        <v>1</v>
      </c>
      <c r="AE10" s="8">
        <v>1</v>
      </c>
      <c r="AF10" s="8">
        <v>0</v>
      </c>
      <c r="AG10" s="8">
        <v>1</v>
      </c>
      <c r="AH10" s="8">
        <v>0</v>
      </c>
      <c r="AI10" s="8">
        <v>1</v>
      </c>
      <c r="AJ10" s="8">
        <v>1</v>
      </c>
      <c r="AK10" s="8">
        <v>1</v>
      </c>
      <c r="AL10" s="8">
        <v>0</v>
      </c>
      <c r="AM10" s="8">
        <v>1</v>
      </c>
      <c r="AN10" s="8">
        <v>1</v>
      </c>
      <c r="AO10" s="8">
        <v>0</v>
      </c>
      <c r="AP10" s="8">
        <v>1</v>
      </c>
      <c r="AQ10" s="8">
        <v>0</v>
      </c>
      <c r="AR10" s="8">
        <v>0</v>
      </c>
      <c r="AS10" s="8">
        <v>1</v>
      </c>
      <c r="AT10" s="8">
        <v>0</v>
      </c>
      <c r="AU10" s="8">
        <v>0</v>
      </c>
      <c r="AV10" s="8">
        <v>1</v>
      </c>
      <c r="AW10" s="8">
        <v>1</v>
      </c>
      <c r="AX10" s="8">
        <v>0</v>
      </c>
      <c r="AY10" s="8">
        <v>0</v>
      </c>
      <c r="AZ10" s="8">
        <v>0</v>
      </c>
      <c r="BA10" s="8">
        <v>1</v>
      </c>
      <c r="BB10" s="8">
        <v>1</v>
      </c>
      <c r="BC10" s="8">
        <v>0</v>
      </c>
      <c r="BD10" s="8">
        <v>0</v>
      </c>
      <c r="BE10" s="8">
        <v>1</v>
      </c>
      <c r="BF10" s="8">
        <v>1</v>
      </c>
      <c r="BG10" s="8">
        <v>0</v>
      </c>
      <c r="BH10" s="8">
        <v>0</v>
      </c>
      <c r="BI10" s="8">
        <v>0</v>
      </c>
      <c r="BJ10" s="8">
        <v>1</v>
      </c>
      <c r="BK10" s="8">
        <v>0</v>
      </c>
      <c r="BL10" s="8">
        <v>0</v>
      </c>
      <c r="BM10" s="8">
        <v>0</v>
      </c>
      <c r="BN10" s="8">
        <v>0</v>
      </c>
      <c r="BO10" s="8">
        <v>1</v>
      </c>
      <c r="BP10" s="8">
        <v>0</v>
      </c>
      <c r="BQ10" s="8">
        <v>1</v>
      </c>
      <c r="BR10" s="8">
        <v>1</v>
      </c>
      <c r="BS10" s="8">
        <v>0</v>
      </c>
      <c r="BT10" s="8">
        <v>0</v>
      </c>
      <c r="BU10" s="8">
        <v>0</v>
      </c>
      <c r="BV10" s="8">
        <v>1</v>
      </c>
      <c r="BW10" s="8">
        <v>0</v>
      </c>
      <c r="BX10" s="8"/>
      <c r="BY10" s="8">
        <f t="shared" si="0"/>
        <v>34</v>
      </c>
      <c r="BZ10" s="10">
        <f t="shared" si="1"/>
        <v>48.571428571428569</v>
      </c>
    </row>
    <row r="11" spans="1:82" ht="22.5" customHeight="1" x14ac:dyDescent="0.2">
      <c r="A11" s="11" t="s">
        <v>92</v>
      </c>
      <c r="B11" s="8">
        <v>1</v>
      </c>
      <c r="C11" s="8">
        <v>1</v>
      </c>
      <c r="D11" s="8">
        <v>1</v>
      </c>
      <c r="E11" s="8">
        <v>0</v>
      </c>
      <c r="F11" s="8">
        <v>1</v>
      </c>
      <c r="G11" s="9">
        <v>1</v>
      </c>
      <c r="H11" s="9">
        <v>1</v>
      </c>
      <c r="I11" s="9">
        <v>0</v>
      </c>
      <c r="J11" s="9">
        <v>1</v>
      </c>
      <c r="K11" s="8">
        <v>0</v>
      </c>
      <c r="L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8">
        <v>1</v>
      </c>
      <c r="AA11" s="8">
        <v>0</v>
      </c>
      <c r="AB11" s="8">
        <v>1</v>
      </c>
      <c r="AC11" s="8">
        <v>0</v>
      </c>
      <c r="AD11" s="8">
        <v>1</v>
      </c>
      <c r="AE11" s="8">
        <v>1</v>
      </c>
      <c r="AF11" s="8">
        <v>1</v>
      </c>
      <c r="AG11" s="8"/>
      <c r="AH11" s="8">
        <v>0</v>
      </c>
      <c r="AI11" s="8">
        <v>1</v>
      </c>
      <c r="AJ11" s="8"/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1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1</v>
      </c>
      <c r="BG11" s="8">
        <v>1</v>
      </c>
      <c r="BH11" s="8">
        <v>1</v>
      </c>
      <c r="BI11" s="8">
        <v>0</v>
      </c>
      <c r="BJ11" s="8">
        <v>0</v>
      </c>
      <c r="BK11" s="8">
        <v>0</v>
      </c>
      <c r="BL11" s="8">
        <v>1</v>
      </c>
      <c r="BM11" s="8">
        <v>1</v>
      </c>
      <c r="BN11" s="8">
        <v>0</v>
      </c>
      <c r="BO11" s="8">
        <v>1</v>
      </c>
      <c r="BP11" s="8">
        <v>0</v>
      </c>
      <c r="BQ11" s="8">
        <v>1</v>
      </c>
      <c r="BR11" s="8">
        <v>1</v>
      </c>
      <c r="BS11" s="8">
        <v>0</v>
      </c>
      <c r="BT11" s="8">
        <v>0</v>
      </c>
      <c r="BU11" s="8">
        <v>0</v>
      </c>
      <c r="BV11" s="8"/>
      <c r="BW11" s="8">
        <v>1</v>
      </c>
      <c r="BX11" s="8"/>
      <c r="BY11" s="8">
        <f t="shared" si="0"/>
        <v>32</v>
      </c>
      <c r="BZ11" s="10">
        <f t="shared" si="1"/>
        <v>45.714285714285715</v>
      </c>
    </row>
    <row r="12" spans="1:82" ht="22.5" customHeight="1" x14ac:dyDescent="0.2">
      <c r="A12" s="11" t="s">
        <v>93</v>
      </c>
      <c r="B12" s="8"/>
      <c r="C12" s="8"/>
      <c r="D12" s="8"/>
      <c r="E12" s="8">
        <v>1</v>
      </c>
      <c r="F12" s="8">
        <v>1</v>
      </c>
      <c r="G12" s="8">
        <v>1</v>
      </c>
      <c r="H12" s="8">
        <v>1</v>
      </c>
      <c r="I12" s="8">
        <v>0</v>
      </c>
      <c r="J12" s="8">
        <v>1</v>
      </c>
      <c r="K12" s="8">
        <v>1</v>
      </c>
      <c r="L12" s="8">
        <v>1</v>
      </c>
      <c r="N12" s="8">
        <v>0</v>
      </c>
      <c r="O12" s="8">
        <v>0</v>
      </c>
      <c r="P12" s="8">
        <v>1</v>
      </c>
      <c r="Q12" s="8">
        <v>0</v>
      </c>
      <c r="R12" s="8">
        <v>1</v>
      </c>
      <c r="S12" s="8">
        <v>0</v>
      </c>
      <c r="T12" s="8">
        <v>1</v>
      </c>
      <c r="U12" s="8">
        <v>0</v>
      </c>
      <c r="V12" s="8">
        <v>0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1</v>
      </c>
      <c r="AH12" s="8">
        <v>0</v>
      </c>
      <c r="AI12" s="8">
        <v>1</v>
      </c>
      <c r="AJ12" s="8">
        <v>1</v>
      </c>
      <c r="AK12" s="8">
        <v>0</v>
      </c>
      <c r="AL12" s="8">
        <v>1</v>
      </c>
      <c r="AM12" s="8">
        <v>0</v>
      </c>
      <c r="AN12" s="8">
        <v>0</v>
      </c>
      <c r="AO12" s="8">
        <v>0</v>
      </c>
      <c r="AP12" s="8">
        <v>0</v>
      </c>
      <c r="AQ12" s="8">
        <v>1</v>
      </c>
      <c r="AR12" s="8">
        <v>0</v>
      </c>
      <c r="AS12" s="8">
        <v>1</v>
      </c>
      <c r="AT12" s="8">
        <v>0</v>
      </c>
      <c r="AU12" s="8">
        <v>0</v>
      </c>
      <c r="AV12" s="8"/>
      <c r="AW12" s="8"/>
      <c r="AX12" s="8">
        <v>0</v>
      </c>
      <c r="AY12" s="8">
        <v>0</v>
      </c>
      <c r="AZ12" s="8">
        <v>0</v>
      </c>
      <c r="BA12" s="8">
        <v>1</v>
      </c>
      <c r="BB12" s="8">
        <v>1</v>
      </c>
      <c r="BC12" s="8">
        <v>1</v>
      </c>
      <c r="BD12" s="8"/>
      <c r="BE12" s="8"/>
      <c r="BF12" s="8">
        <v>0</v>
      </c>
      <c r="BG12" s="8">
        <v>0</v>
      </c>
      <c r="BH12" s="8">
        <v>0</v>
      </c>
      <c r="BI12" s="8"/>
      <c r="BJ12" s="8"/>
      <c r="BK12" s="8">
        <v>1</v>
      </c>
      <c r="BL12" s="8">
        <v>1</v>
      </c>
      <c r="BM12" s="8">
        <v>1</v>
      </c>
      <c r="BN12" s="8"/>
      <c r="BO12" s="8">
        <v>1</v>
      </c>
      <c r="BP12" s="8">
        <v>1</v>
      </c>
      <c r="BQ12" s="8">
        <v>1</v>
      </c>
      <c r="BR12" s="8">
        <v>0</v>
      </c>
      <c r="BS12" s="8">
        <v>0</v>
      </c>
      <c r="BT12" s="8"/>
      <c r="BU12" s="8"/>
      <c r="BV12" s="8">
        <v>0</v>
      </c>
      <c r="BW12" s="8"/>
      <c r="BX12" s="8"/>
      <c r="BY12" s="8">
        <f t="shared" si="0"/>
        <v>31</v>
      </c>
      <c r="BZ12" s="10">
        <f t="shared" si="1"/>
        <v>51.666666666666671</v>
      </c>
    </row>
    <row r="13" spans="1:82" ht="22.5" customHeight="1" x14ac:dyDescent="0.2">
      <c r="A13" s="11" t="s">
        <v>89</v>
      </c>
      <c r="B13" s="8"/>
      <c r="C13" s="8"/>
      <c r="D13" s="8">
        <v>0</v>
      </c>
      <c r="E13" s="8">
        <v>0</v>
      </c>
      <c r="F13" s="8">
        <v>0</v>
      </c>
      <c r="G13" s="9">
        <v>0</v>
      </c>
      <c r="H13" s="9">
        <v>0</v>
      </c>
      <c r="I13" s="9">
        <v>0</v>
      </c>
      <c r="J13" s="9">
        <v>0</v>
      </c>
      <c r="K13" s="8">
        <v>0</v>
      </c>
      <c r="L13" s="8">
        <v>1</v>
      </c>
      <c r="N13" s="8">
        <v>1</v>
      </c>
      <c r="O13" s="8">
        <v>1</v>
      </c>
      <c r="P13" s="8">
        <v>0</v>
      </c>
      <c r="Q13" s="8">
        <v>0</v>
      </c>
      <c r="R13" s="8">
        <v>1</v>
      </c>
      <c r="S13" s="8">
        <v>1</v>
      </c>
      <c r="T13" s="8">
        <v>1</v>
      </c>
      <c r="U13" s="8">
        <v>0</v>
      </c>
      <c r="V13" s="8"/>
      <c r="W13" s="8"/>
      <c r="X13" s="8">
        <v>0</v>
      </c>
      <c r="Y13" s="8">
        <v>1</v>
      </c>
      <c r="Z13" s="8">
        <v>1</v>
      </c>
      <c r="AA13" s="8">
        <v>0</v>
      </c>
      <c r="AB13" s="8">
        <v>0</v>
      </c>
      <c r="AC13" s="8">
        <v>0</v>
      </c>
      <c r="AD13" s="8">
        <v>1</v>
      </c>
      <c r="AE13" s="8">
        <v>0</v>
      </c>
      <c r="AF13" s="8">
        <v>0</v>
      </c>
      <c r="AG13" s="8">
        <v>1</v>
      </c>
      <c r="AH13" s="8">
        <v>1</v>
      </c>
      <c r="AI13" s="8">
        <v>0</v>
      </c>
      <c r="AJ13" s="8">
        <v>1</v>
      </c>
      <c r="AK13" s="8">
        <v>0</v>
      </c>
      <c r="AL13" s="8">
        <v>0</v>
      </c>
      <c r="AM13" s="8">
        <v>0</v>
      </c>
      <c r="AN13" s="8">
        <v>1</v>
      </c>
      <c r="AO13" s="8">
        <v>1</v>
      </c>
      <c r="AP13" s="8">
        <v>1</v>
      </c>
      <c r="AQ13" s="8">
        <v>0</v>
      </c>
      <c r="AR13" s="8">
        <v>0</v>
      </c>
      <c r="AS13" s="8">
        <v>1</v>
      </c>
      <c r="AT13" s="8">
        <v>0</v>
      </c>
      <c r="AU13" s="8">
        <v>0</v>
      </c>
      <c r="AV13" s="8">
        <v>1</v>
      </c>
      <c r="AW13" s="8">
        <v>1</v>
      </c>
      <c r="AX13" s="8">
        <v>1</v>
      </c>
      <c r="AY13" s="8">
        <v>0</v>
      </c>
      <c r="AZ13" s="8">
        <v>1</v>
      </c>
      <c r="BA13" s="8">
        <v>0</v>
      </c>
      <c r="BB13" s="8">
        <v>1</v>
      </c>
      <c r="BC13" s="8">
        <v>1</v>
      </c>
      <c r="BD13" s="8"/>
      <c r="BE13" s="8">
        <v>0</v>
      </c>
      <c r="BF13" s="8">
        <v>1</v>
      </c>
      <c r="BG13" s="8"/>
      <c r="BH13" s="8">
        <v>0</v>
      </c>
      <c r="BI13" s="8">
        <v>0</v>
      </c>
      <c r="BJ13" s="8">
        <v>1</v>
      </c>
      <c r="BK13" s="8">
        <v>0</v>
      </c>
      <c r="BL13" s="8">
        <v>0</v>
      </c>
      <c r="BM13" s="8">
        <v>1</v>
      </c>
      <c r="BN13" s="8">
        <v>0</v>
      </c>
      <c r="BO13" s="8">
        <v>0</v>
      </c>
      <c r="BP13" s="8">
        <v>1</v>
      </c>
      <c r="BQ13" s="8">
        <v>0</v>
      </c>
      <c r="BR13" s="8">
        <v>1</v>
      </c>
      <c r="BS13" s="8">
        <v>0</v>
      </c>
      <c r="BT13" s="8">
        <v>0</v>
      </c>
      <c r="BU13" s="8">
        <v>1</v>
      </c>
      <c r="BV13" s="8">
        <v>0</v>
      </c>
      <c r="BW13" s="8">
        <v>0</v>
      </c>
      <c r="BX13" s="8"/>
      <c r="BY13" s="8">
        <f t="shared" si="0"/>
        <v>28</v>
      </c>
      <c r="BZ13" s="10">
        <f t="shared" si="1"/>
        <v>41.791044776119399</v>
      </c>
    </row>
    <row r="14" spans="1:82" ht="22.5" customHeight="1" x14ac:dyDescent="0.2">
      <c r="A14" s="6" t="s">
        <v>94</v>
      </c>
      <c r="B14" s="7">
        <v>0</v>
      </c>
      <c r="C14" s="7">
        <v>1</v>
      </c>
      <c r="D14" s="7"/>
      <c r="E14" s="18"/>
      <c r="F14" s="8">
        <v>1</v>
      </c>
      <c r="G14" s="9">
        <v>0</v>
      </c>
      <c r="H14" s="9">
        <v>1</v>
      </c>
      <c r="I14" s="9">
        <v>0</v>
      </c>
      <c r="K14" s="8">
        <v>0</v>
      </c>
      <c r="L14" s="8">
        <v>0</v>
      </c>
      <c r="N14" s="8">
        <v>0</v>
      </c>
      <c r="O14" s="8">
        <v>0</v>
      </c>
      <c r="P14" s="8"/>
      <c r="Q14" s="8">
        <v>1</v>
      </c>
      <c r="R14" s="8">
        <v>1</v>
      </c>
      <c r="S14" s="8">
        <v>1</v>
      </c>
      <c r="T14" s="8">
        <v>1</v>
      </c>
      <c r="U14" s="8">
        <v>0</v>
      </c>
      <c r="V14" s="8">
        <v>1</v>
      </c>
      <c r="W14" s="8">
        <v>1</v>
      </c>
      <c r="X14" s="8"/>
      <c r="Y14" s="8"/>
      <c r="Z14" s="8">
        <v>0</v>
      </c>
      <c r="AA14" s="8">
        <v>1</v>
      </c>
      <c r="AB14" s="8">
        <v>0</v>
      </c>
      <c r="AC14" s="8">
        <v>0</v>
      </c>
      <c r="AD14" s="8">
        <v>1</v>
      </c>
      <c r="AE14" s="8"/>
      <c r="AF14" s="8"/>
      <c r="AG14" s="8">
        <v>1</v>
      </c>
      <c r="AH14" s="8">
        <v>1</v>
      </c>
      <c r="AI14" s="8">
        <v>1</v>
      </c>
      <c r="AJ14" s="8">
        <v>1</v>
      </c>
      <c r="AK14" s="8">
        <v>0</v>
      </c>
      <c r="AL14" s="8">
        <v>0</v>
      </c>
      <c r="AM14" s="8">
        <v>1</v>
      </c>
      <c r="AN14" s="8"/>
      <c r="AO14" s="8">
        <v>0</v>
      </c>
      <c r="AP14" s="8">
        <v>1</v>
      </c>
      <c r="AQ14" s="8"/>
      <c r="AR14" s="8"/>
      <c r="AS14" s="8">
        <v>1</v>
      </c>
      <c r="AT14" s="8">
        <v>0</v>
      </c>
      <c r="AU14" s="8">
        <v>1</v>
      </c>
      <c r="AV14" s="8">
        <v>1</v>
      </c>
      <c r="AW14" s="8">
        <v>1</v>
      </c>
      <c r="AX14" s="8">
        <v>0</v>
      </c>
      <c r="AY14" s="8">
        <v>0</v>
      </c>
      <c r="AZ14" s="8">
        <v>0</v>
      </c>
      <c r="BA14" s="8">
        <v>0</v>
      </c>
      <c r="BB14" s="8">
        <v>1</v>
      </c>
      <c r="BC14" s="8"/>
      <c r="BD14" s="8"/>
      <c r="BE14" s="8"/>
      <c r="BF14" s="8">
        <v>1</v>
      </c>
      <c r="BG14" s="8"/>
      <c r="BH14" s="8">
        <v>0</v>
      </c>
      <c r="BI14" s="8">
        <v>0</v>
      </c>
      <c r="BJ14" s="8">
        <v>0</v>
      </c>
      <c r="BK14" s="8">
        <v>1</v>
      </c>
      <c r="BL14" s="8">
        <v>0</v>
      </c>
      <c r="BM14" s="8"/>
      <c r="BN14" s="8">
        <v>0</v>
      </c>
      <c r="BO14" s="8">
        <v>0</v>
      </c>
      <c r="BP14" s="8"/>
      <c r="BQ14" s="8"/>
      <c r="BR14" s="8"/>
      <c r="BS14" s="8"/>
      <c r="BT14" s="8"/>
      <c r="BU14" s="8"/>
      <c r="BV14" s="8"/>
      <c r="BW14" s="8">
        <v>0</v>
      </c>
      <c r="BX14" s="8"/>
      <c r="BY14" s="8">
        <f t="shared" si="0"/>
        <v>24</v>
      </c>
      <c r="BZ14" s="10">
        <f t="shared" si="1"/>
        <v>48</v>
      </c>
    </row>
    <row r="15" spans="1:82" ht="22.5" hidden="1" customHeight="1" x14ac:dyDescent="0.2">
      <c r="A15" s="6" t="s">
        <v>97</v>
      </c>
      <c r="B15" s="7">
        <v>1</v>
      </c>
      <c r="C15" s="7">
        <v>0</v>
      </c>
      <c r="D15" s="7"/>
      <c r="E15" s="18"/>
      <c r="F15" s="19"/>
      <c r="K15" s="8"/>
      <c r="L15" s="8">
        <v>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>
        <v>0</v>
      </c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>
        <f t="shared" ref="BY15" si="2">SUM(B15:BW15)</f>
        <v>1</v>
      </c>
      <c r="BZ15" s="10">
        <f t="shared" si="1"/>
        <v>25</v>
      </c>
    </row>
    <row r="16" spans="1:82" ht="12.75" x14ac:dyDescent="0.2">
      <c r="A16" s="13" t="s">
        <v>98</v>
      </c>
      <c r="B16" s="20">
        <f t="shared" ref="B16:N16" si="3">COUNTIF(B2:B15, 1)</f>
        <v>6</v>
      </c>
      <c r="C16" s="20">
        <f t="shared" si="3"/>
        <v>9</v>
      </c>
      <c r="D16" s="20">
        <f t="shared" si="3"/>
        <v>7</v>
      </c>
      <c r="E16" s="20">
        <f t="shared" si="3"/>
        <v>8</v>
      </c>
      <c r="F16" s="20">
        <f t="shared" si="3"/>
        <v>11</v>
      </c>
      <c r="G16" s="20">
        <f t="shared" si="3"/>
        <v>7</v>
      </c>
      <c r="H16" s="20">
        <f t="shared" si="3"/>
        <v>7</v>
      </c>
      <c r="I16" s="20">
        <f t="shared" si="3"/>
        <v>1</v>
      </c>
      <c r="J16" s="20">
        <f t="shared" si="3"/>
        <v>9</v>
      </c>
      <c r="K16" s="20">
        <f t="shared" si="3"/>
        <v>1</v>
      </c>
      <c r="L16" s="20">
        <f t="shared" si="3"/>
        <v>8</v>
      </c>
      <c r="M16" s="20"/>
      <c r="N16" s="20">
        <f t="shared" si="3"/>
        <v>5</v>
      </c>
      <c r="O16" s="20">
        <f t="shared" ref="O16:AT16" si="4">COUNTIF(O2:O15, 1)</f>
        <v>3</v>
      </c>
      <c r="P16" s="20">
        <f t="shared" si="4"/>
        <v>6</v>
      </c>
      <c r="Q16" s="20">
        <f t="shared" si="4"/>
        <v>9</v>
      </c>
      <c r="R16" s="20">
        <f t="shared" si="4"/>
        <v>13</v>
      </c>
      <c r="S16" s="20">
        <f t="shared" si="4"/>
        <v>6</v>
      </c>
      <c r="T16" s="20">
        <f t="shared" si="4"/>
        <v>7</v>
      </c>
      <c r="U16" s="20">
        <f t="shared" si="4"/>
        <v>4</v>
      </c>
      <c r="V16" s="20">
        <f t="shared" si="4"/>
        <v>1</v>
      </c>
      <c r="W16" s="20">
        <f t="shared" si="4"/>
        <v>9</v>
      </c>
      <c r="X16" s="20">
        <f t="shared" si="4"/>
        <v>9</v>
      </c>
      <c r="Y16" s="20">
        <f t="shared" si="4"/>
        <v>8</v>
      </c>
      <c r="Z16" s="20">
        <f t="shared" si="4"/>
        <v>10</v>
      </c>
      <c r="AA16" s="20">
        <f t="shared" si="4"/>
        <v>3</v>
      </c>
      <c r="AB16" s="20">
        <f t="shared" si="4"/>
        <v>5</v>
      </c>
      <c r="AC16" s="20">
        <f t="shared" si="4"/>
        <v>1</v>
      </c>
      <c r="AD16" s="20">
        <f t="shared" si="4"/>
        <v>13</v>
      </c>
      <c r="AE16" s="20">
        <f t="shared" si="4"/>
        <v>4</v>
      </c>
      <c r="AF16" s="20">
        <f t="shared" si="4"/>
        <v>4</v>
      </c>
      <c r="AG16" s="20">
        <f t="shared" si="4"/>
        <v>12</v>
      </c>
      <c r="AH16" s="20">
        <f t="shared" si="4"/>
        <v>4</v>
      </c>
      <c r="AI16" s="20">
        <f t="shared" si="4"/>
        <v>11</v>
      </c>
      <c r="AJ16" s="20">
        <f t="shared" si="4"/>
        <v>11</v>
      </c>
      <c r="AK16" s="20">
        <f t="shared" si="4"/>
        <v>5</v>
      </c>
      <c r="AL16" s="20">
        <f t="shared" si="4"/>
        <v>4</v>
      </c>
      <c r="AM16" s="20">
        <f t="shared" si="4"/>
        <v>7</v>
      </c>
      <c r="AN16" s="20">
        <f t="shared" si="4"/>
        <v>9</v>
      </c>
      <c r="AO16" s="20">
        <f t="shared" si="4"/>
        <v>5</v>
      </c>
      <c r="AP16" s="20">
        <f t="shared" si="4"/>
        <v>8</v>
      </c>
      <c r="AQ16" s="20">
        <f t="shared" si="4"/>
        <v>3</v>
      </c>
      <c r="AR16" s="20">
        <f t="shared" si="4"/>
        <v>2</v>
      </c>
      <c r="AS16" s="20">
        <f t="shared" si="4"/>
        <v>7</v>
      </c>
      <c r="AT16" s="20">
        <f t="shared" si="4"/>
        <v>0</v>
      </c>
      <c r="AU16" s="20">
        <f t="shared" ref="AU16:BW16" si="5">COUNTIF(AU2:AU15, 1)</f>
        <v>6</v>
      </c>
      <c r="AV16" s="20">
        <f t="shared" si="5"/>
        <v>8</v>
      </c>
      <c r="AW16" s="20">
        <f t="shared" si="5"/>
        <v>7</v>
      </c>
      <c r="AX16" s="20">
        <f t="shared" si="5"/>
        <v>4</v>
      </c>
      <c r="AY16" s="20">
        <f t="shared" si="5"/>
        <v>2</v>
      </c>
      <c r="AZ16" s="20">
        <f t="shared" si="5"/>
        <v>7</v>
      </c>
      <c r="BA16" s="20">
        <f t="shared" si="5"/>
        <v>5</v>
      </c>
      <c r="BB16" s="20">
        <f t="shared" si="5"/>
        <v>9</v>
      </c>
      <c r="BC16" s="20">
        <f t="shared" si="5"/>
        <v>7</v>
      </c>
      <c r="BD16" s="20">
        <f t="shared" si="5"/>
        <v>1</v>
      </c>
      <c r="BE16" s="20">
        <f t="shared" si="5"/>
        <v>5</v>
      </c>
      <c r="BF16" s="20">
        <f t="shared" si="5"/>
        <v>9</v>
      </c>
      <c r="BG16" s="20">
        <f t="shared" si="5"/>
        <v>6</v>
      </c>
      <c r="BH16" s="20">
        <f t="shared" si="5"/>
        <v>3</v>
      </c>
      <c r="BI16" s="20">
        <f t="shared" si="5"/>
        <v>2</v>
      </c>
      <c r="BJ16" s="20">
        <f t="shared" si="5"/>
        <v>5</v>
      </c>
      <c r="BK16" s="20">
        <f t="shared" si="5"/>
        <v>5</v>
      </c>
      <c r="BL16" s="20">
        <f t="shared" si="5"/>
        <v>4</v>
      </c>
      <c r="BM16" s="20">
        <f t="shared" si="5"/>
        <v>7</v>
      </c>
      <c r="BN16" s="20">
        <f t="shared" si="5"/>
        <v>7</v>
      </c>
      <c r="BO16" s="20">
        <f t="shared" si="5"/>
        <v>8</v>
      </c>
      <c r="BP16" s="20">
        <f t="shared" si="5"/>
        <v>5</v>
      </c>
      <c r="BQ16" s="20">
        <f t="shared" si="5"/>
        <v>11</v>
      </c>
      <c r="BR16" s="20">
        <f t="shared" si="5"/>
        <v>9</v>
      </c>
      <c r="BS16" s="20">
        <f t="shared" si="5"/>
        <v>2</v>
      </c>
      <c r="BT16" s="20">
        <f t="shared" si="5"/>
        <v>2</v>
      </c>
      <c r="BU16" s="20">
        <f t="shared" si="5"/>
        <v>3</v>
      </c>
      <c r="BV16" s="20">
        <f t="shared" si="5"/>
        <v>6</v>
      </c>
      <c r="BW16" s="20">
        <f t="shared" si="5"/>
        <v>4</v>
      </c>
    </row>
    <row r="17" spans="1:75" ht="12.75" x14ac:dyDescent="0.2">
      <c r="A17" s="13" t="s">
        <v>99</v>
      </c>
      <c r="B17" s="20" t="str">
        <f t="shared" ref="B17:BW17" si="6">IF(B16&gt;=7, "Majority Win", "Minority Win")</f>
        <v>Minority Win</v>
      </c>
      <c r="C17" s="20" t="str">
        <f t="shared" si="6"/>
        <v>Majority Win</v>
      </c>
      <c r="D17" s="20" t="str">
        <f t="shared" si="6"/>
        <v>Majority Win</v>
      </c>
      <c r="E17" s="20" t="str">
        <f t="shared" si="6"/>
        <v>Majority Win</v>
      </c>
      <c r="F17" s="20" t="str">
        <f t="shared" si="6"/>
        <v>Majority Win</v>
      </c>
      <c r="G17" s="20" t="str">
        <f t="shared" si="6"/>
        <v>Majority Win</v>
      </c>
      <c r="H17" s="20" t="str">
        <f t="shared" si="6"/>
        <v>Majority Win</v>
      </c>
      <c r="I17" s="20" t="str">
        <f t="shared" si="6"/>
        <v>Minority Win</v>
      </c>
      <c r="J17" s="20" t="str">
        <f t="shared" si="6"/>
        <v>Majority Win</v>
      </c>
      <c r="K17" s="20" t="str">
        <f t="shared" si="6"/>
        <v>Minority Win</v>
      </c>
      <c r="L17" s="20" t="str">
        <f t="shared" si="6"/>
        <v>Majority Win</v>
      </c>
      <c r="M17" s="20"/>
      <c r="N17" s="20" t="str">
        <f t="shared" si="6"/>
        <v>Minority Win</v>
      </c>
      <c r="O17" s="20" t="str">
        <f t="shared" si="6"/>
        <v>Minority Win</v>
      </c>
      <c r="P17" s="20" t="str">
        <f t="shared" si="6"/>
        <v>Minority Win</v>
      </c>
      <c r="Q17" s="20" t="str">
        <f t="shared" si="6"/>
        <v>Majority Win</v>
      </c>
      <c r="R17" s="20" t="str">
        <f t="shared" si="6"/>
        <v>Majority Win</v>
      </c>
      <c r="S17" s="20" t="str">
        <f t="shared" si="6"/>
        <v>Minority Win</v>
      </c>
      <c r="T17" s="20" t="str">
        <f t="shared" si="6"/>
        <v>Majority Win</v>
      </c>
      <c r="U17" s="20" t="str">
        <f t="shared" si="6"/>
        <v>Minority Win</v>
      </c>
      <c r="V17" s="20" t="str">
        <f t="shared" si="6"/>
        <v>Minority Win</v>
      </c>
      <c r="W17" s="20" t="str">
        <f t="shared" si="6"/>
        <v>Majority Win</v>
      </c>
      <c r="X17" s="20" t="str">
        <f t="shared" si="6"/>
        <v>Majority Win</v>
      </c>
      <c r="Y17" s="20" t="str">
        <f t="shared" si="6"/>
        <v>Majority Win</v>
      </c>
      <c r="Z17" s="20" t="str">
        <f t="shared" si="6"/>
        <v>Majority Win</v>
      </c>
      <c r="AA17" s="20" t="str">
        <f t="shared" si="6"/>
        <v>Minority Win</v>
      </c>
      <c r="AB17" s="20" t="str">
        <f t="shared" si="6"/>
        <v>Minority Win</v>
      </c>
      <c r="AC17" s="20" t="str">
        <f t="shared" si="6"/>
        <v>Minority Win</v>
      </c>
      <c r="AD17" s="20" t="str">
        <f t="shared" si="6"/>
        <v>Majority Win</v>
      </c>
      <c r="AE17" s="20" t="str">
        <f t="shared" si="6"/>
        <v>Minority Win</v>
      </c>
      <c r="AF17" s="20" t="str">
        <f t="shared" si="6"/>
        <v>Minority Win</v>
      </c>
      <c r="AG17" s="20" t="str">
        <f t="shared" si="6"/>
        <v>Majority Win</v>
      </c>
      <c r="AH17" s="20" t="str">
        <f t="shared" si="6"/>
        <v>Minority Win</v>
      </c>
      <c r="AI17" s="20" t="str">
        <f t="shared" si="6"/>
        <v>Majority Win</v>
      </c>
      <c r="AJ17" s="20" t="str">
        <f t="shared" si="6"/>
        <v>Majority Win</v>
      </c>
      <c r="AK17" s="20" t="str">
        <f t="shared" si="6"/>
        <v>Minority Win</v>
      </c>
      <c r="AL17" s="20" t="str">
        <f t="shared" si="6"/>
        <v>Minority Win</v>
      </c>
      <c r="AM17" s="20" t="str">
        <f t="shared" si="6"/>
        <v>Majority Win</v>
      </c>
      <c r="AN17" s="20" t="str">
        <f t="shared" si="6"/>
        <v>Majority Win</v>
      </c>
      <c r="AO17" s="20" t="str">
        <f t="shared" si="6"/>
        <v>Minority Win</v>
      </c>
      <c r="AP17" s="20" t="str">
        <f t="shared" si="6"/>
        <v>Majority Win</v>
      </c>
      <c r="AQ17" s="20" t="str">
        <f t="shared" si="6"/>
        <v>Minority Win</v>
      </c>
      <c r="AR17" s="20" t="str">
        <f t="shared" si="6"/>
        <v>Minority Win</v>
      </c>
      <c r="AS17" s="20" t="str">
        <f t="shared" si="6"/>
        <v>Majority Win</v>
      </c>
      <c r="AT17" s="20" t="str">
        <f t="shared" si="6"/>
        <v>Minority Win</v>
      </c>
      <c r="AU17" s="20" t="str">
        <f t="shared" si="6"/>
        <v>Minority Win</v>
      </c>
      <c r="AV17" s="20" t="str">
        <f t="shared" si="6"/>
        <v>Majority Win</v>
      </c>
      <c r="AW17" s="20" t="str">
        <f t="shared" si="6"/>
        <v>Majority Win</v>
      </c>
      <c r="AX17" s="20" t="str">
        <f t="shared" si="6"/>
        <v>Minority Win</v>
      </c>
      <c r="AY17" s="20" t="str">
        <f t="shared" si="6"/>
        <v>Minority Win</v>
      </c>
      <c r="AZ17" s="20" t="str">
        <f t="shared" si="6"/>
        <v>Majority Win</v>
      </c>
      <c r="BA17" s="20" t="str">
        <f t="shared" si="6"/>
        <v>Minority Win</v>
      </c>
      <c r="BB17" s="20" t="str">
        <f t="shared" si="6"/>
        <v>Majority Win</v>
      </c>
      <c r="BC17" s="20" t="str">
        <f t="shared" si="6"/>
        <v>Majority Win</v>
      </c>
      <c r="BD17" s="20" t="str">
        <f t="shared" si="6"/>
        <v>Minority Win</v>
      </c>
      <c r="BE17" s="20" t="str">
        <f t="shared" si="6"/>
        <v>Minority Win</v>
      </c>
      <c r="BF17" s="20" t="str">
        <f t="shared" si="6"/>
        <v>Majority Win</v>
      </c>
      <c r="BG17" s="20" t="str">
        <f t="shared" si="6"/>
        <v>Minority Win</v>
      </c>
      <c r="BH17" s="20" t="str">
        <f t="shared" si="6"/>
        <v>Minority Win</v>
      </c>
      <c r="BI17" s="20" t="str">
        <f t="shared" si="6"/>
        <v>Minority Win</v>
      </c>
      <c r="BJ17" s="20" t="str">
        <f t="shared" si="6"/>
        <v>Minority Win</v>
      </c>
      <c r="BK17" s="20" t="str">
        <f t="shared" si="6"/>
        <v>Minority Win</v>
      </c>
      <c r="BL17" s="20" t="str">
        <f t="shared" si="6"/>
        <v>Minority Win</v>
      </c>
      <c r="BM17" s="20" t="str">
        <f t="shared" si="6"/>
        <v>Majority Win</v>
      </c>
      <c r="BN17" s="20" t="str">
        <f t="shared" si="6"/>
        <v>Majority Win</v>
      </c>
      <c r="BO17" s="20" t="str">
        <f t="shared" si="6"/>
        <v>Majority Win</v>
      </c>
      <c r="BP17" s="20" t="str">
        <f t="shared" si="6"/>
        <v>Minority Win</v>
      </c>
      <c r="BQ17" s="20" t="str">
        <f t="shared" si="6"/>
        <v>Majority Win</v>
      </c>
      <c r="BR17" s="20" t="str">
        <f t="shared" si="6"/>
        <v>Majority Win</v>
      </c>
      <c r="BS17" s="20" t="str">
        <f t="shared" si="6"/>
        <v>Minority Win</v>
      </c>
      <c r="BT17" s="20" t="str">
        <f t="shared" si="6"/>
        <v>Minority Win</v>
      </c>
      <c r="BU17" s="20" t="str">
        <f t="shared" si="6"/>
        <v>Minority Win</v>
      </c>
      <c r="BV17" s="20" t="str">
        <f t="shared" si="6"/>
        <v>Minority Win</v>
      </c>
      <c r="BW17" s="20" t="str">
        <f t="shared" si="6"/>
        <v>Minority Win</v>
      </c>
    </row>
    <row r="18" spans="1:75" ht="12.75" x14ac:dyDescent="0.2">
      <c r="A18" s="13" t="s">
        <v>100</v>
      </c>
      <c r="B18" s="20">
        <f t="shared" ref="B18:BW18" si="7">IF(B17="Majority Win", 1, 0)</f>
        <v>0</v>
      </c>
      <c r="C18" s="20">
        <f t="shared" si="7"/>
        <v>1</v>
      </c>
      <c r="D18" s="20">
        <f t="shared" si="7"/>
        <v>1</v>
      </c>
      <c r="E18" s="20">
        <f t="shared" si="7"/>
        <v>1</v>
      </c>
      <c r="F18" s="20">
        <f t="shared" si="7"/>
        <v>1</v>
      </c>
      <c r="G18" s="20">
        <f t="shared" si="7"/>
        <v>1</v>
      </c>
      <c r="H18" s="20">
        <f t="shared" si="7"/>
        <v>1</v>
      </c>
      <c r="I18" s="20">
        <f t="shared" si="7"/>
        <v>0</v>
      </c>
      <c r="J18" s="20">
        <f t="shared" si="7"/>
        <v>1</v>
      </c>
      <c r="K18" s="20">
        <f t="shared" si="7"/>
        <v>0</v>
      </c>
      <c r="L18" s="20">
        <f t="shared" si="7"/>
        <v>1</v>
      </c>
      <c r="M18" s="20"/>
      <c r="N18" s="20">
        <f t="shared" si="7"/>
        <v>0</v>
      </c>
      <c r="O18" s="20">
        <f t="shared" si="7"/>
        <v>0</v>
      </c>
      <c r="P18" s="20">
        <f t="shared" si="7"/>
        <v>0</v>
      </c>
      <c r="Q18" s="20">
        <f t="shared" si="7"/>
        <v>1</v>
      </c>
      <c r="R18" s="20">
        <f t="shared" si="7"/>
        <v>1</v>
      </c>
      <c r="S18" s="20">
        <f t="shared" si="7"/>
        <v>0</v>
      </c>
      <c r="T18" s="20">
        <f t="shared" si="7"/>
        <v>1</v>
      </c>
      <c r="U18" s="20">
        <f t="shared" si="7"/>
        <v>0</v>
      </c>
      <c r="V18" s="20">
        <f t="shared" si="7"/>
        <v>0</v>
      </c>
      <c r="W18" s="20">
        <f t="shared" si="7"/>
        <v>1</v>
      </c>
      <c r="X18" s="20">
        <f t="shared" si="7"/>
        <v>1</v>
      </c>
      <c r="Y18" s="20">
        <f t="shared" si="7"/>
        <v>1</v>
      </c>
      <c r="Z18" s="20">
        <f t="shared" si="7"/>
        <v>1</v>
      </c>
      <c r="AA18" s="20">
        <f t="shared" si="7"/>
        <v>0</v>
      </c>
      <c r="AB18" s="20">
        <f t="shared" si="7"/>
        <v>0</v>
      </c>
      <c r="AC18" s="20">
        <f t="shared" si="7"/>
        <v>0</v>
      </c>
      <c r="AD18" s="20">
        <f t="shared" si="7"/>
        <v>1</v>
      </c>
      <c r="AE18" s="20">
        <f t="shared" si="7"/>
        <v>0</v>
      </c>
      <c r="AF18" s="20">
        <f t="shared" si="7"/>
        <v>0</v>
      </c>
      <c r="AG18" s="20">
        <f t="shared" si="7"/>
        <v>1</v>
      </c>
      <c r="AH18" s="20">
        <f t="shared" si="7"/>
        <v>0</v>
      </c>
      <c r="AI18" s="20">
        <f t="shared" si="7"/>
        <v>1</v>
      </c>
      <c r="AJ18" s="20">
        <f t="shared" si="7"/>
        <v>1</v>
      </c>
      <c r="AK18" s="20">
        <f t="shared" si="7"/>
        <v>0</v>
      </c>
      <c r="AL18" s="20">
        <f t="shared" si="7"/>
        <v>0</v>
      </c>
      <c r="AM18" s="20">
        <f t="shared" si="7"/>
        <v>1</v>
      </c>
      <c r="AN18" s="20">
        <f t="shared" si="7"/>
        <v>1</v>
      </c>
      <c r="AO18" s="20">
        <f t="shared" si="7"/>
        <v>0</v>
      </c>
      <c r="AP18" s="20">
        <f t="shared" si="7"/>
        <v>1</v>
      </c>
      <c r="AQ18" s="20">
        <f t="shared" si="7"/>
        <v>0</v>
      </c>
      <c r="AR18" s="20">
        <f t="shared" si="7"/>
        <v>0</v>
      </c>
      <c r="AS18" s="20">
        <f t="shared" si="7"/>
        <v>1</v>
      </c>
      <c r="AT18" s="20">
        <f t="shared" si="7"/>
        <v>0</v>
      </c>
      <c r="AU18" s="20">
        <f t="shared" si="7"/>
        <v>0</v>
      </c>
      <c r="AV18" s="20">
        <f t="shared" si="7"/>
        <v>1</v>
      </c>
      <c r="AW18" s="20">
        <f t="shared" si="7"/>
        <v>1</v>
      </c>
      <c r="AX18" s="20">
        <f t="shared" si="7"/>
        <v>0</v>
      </c>
      <c r="AY18" s="20">
        <f t="shared" si="7"/>
        <v>0</v>
      </c>
      <c r="AZ18" s="20">
        <f t="shared" si="7"/>
        <v>1</v>
      </c>
      <c r="BA18" s="20">
        <f t="shared" si="7"/>
        <v>0</v>
      </c>
      <c r="BB18" s="20">
        <f t="shared" si="7"/>
        <v>1</v>
      </c>
      <c r="BC18" s="20">
        <f t="shared" si="7"/>
        <v>1</v>
      </c>
      <c r="BD18" s="20">
        <f t="shared" si="7"/>
        <v>0</v>
      </c>
      <c r="BE18" s="20">
        <f t="shared" si="7"/>
        <v>0</v>
      </c>
      <c r="BF18" s="20">
        <f t="shared" si="7"/>
        <v>1</v>
      </c>
      <c r="BG18" s="20">
        <f t="shared" si="7"/>
        <v>0</v>
      </c>
      <c r="BH18" s="20">
        <f t="shared" si="7"/>
        <v>0</v>
      </c>
      <c r="BI18" s="20">
        <f t="shared" si="7"/>
        <v>0</v>
      </c>
      <c r="BJ18" s="20">
        <f t="shared" si="7"/>
        <v>0</v>
      </c>
      <c r="BK18" s="20">
        <f t="shared" si="7"/>
        <v>0</v>
      </c>
      <c r="BL18" s="20">
        <f t="shared" si="7"/>
        <v>0</v>
      </c>
      <c r="BM18" s="20">
        <f t="shared" si="7"/>
        <v>1</v>
      </c>
      <c r="BN18" s="20">
        <f t="shared" si="7"/>
        <v>1</v>
      </c>
      <c r="BO18" s="20">
        <f t="shared" si="7"/>
        <v>1</v>
      </c>
      <c r="BP18" s="20">
        <f t="shared" si="7"/>
        <v>0</v>
      </c>
      <c r="BQ18" s="20">
        <f t="shared" si="7"/>
        <v>1</v>
      </c>
      <c r="BR18" s="20">
        <f t="shared" si="7"/>
        <v>1</v>
      </c>
      <c r="BS18" s="20">
        <f t="shared" si="7"/>
        <v>0</v>
      </c>
      <c r="BT18" s="20">
        <f t="shared" si="7"/>
        <v>0</v>
      </c>
      <c r="BU18" s="20">
        <f t="shared" si="7"/>
        <v>0</v>
      </c>
      <c r="BV18" s="20">
        <f t="shared" si="7"/>
        <v>0</v>
      </c>
      <c r="BW18" s="20">
        <f t="shared" si="7"/>
        <v>0</v>
      </c>
    </row>
    <row r="100" spans="1:1" ht="12.75" x14ac:dyDescent="0.2">
      <c r="A100" s="15" t="s">
        <v>101</v>
      </c>
    </row>
  </sheetData>
  <mergeCells count="1">
    <mergeCell ref="CA2:CD2"/>
  </mergeCells>
  <conditionalFormatting sqref="A17">
    <cfRule type="notContainsBlanks" dxfId="2" priority="3">
      <formula>LEN(TRIM(A17))&gt;0</formula>
    </cfRule>
  </conditionalFormatting>
  <conditionalFormatting sqref="B17:BY17">
    <cfRule type="containsText" dxfId="1" priority="1" operator="containsText" text="Minority Win">
      <formula>NOT(ISERROR(SEARCH(("Minority Win"),(B17))))</formula>
    </cfRule>
    <cfRule type="containsText" dxfId="0" priority="2" operator="containsText" text="Majority Win">
      <formula>NOT(ISERROR(SEARCH(("Majority Win"),(B17))))</formula>
    </cfRule>
  </conditionalFormatting>
  <dataValidations count="1">
    <dataValidation type="custom" allowBlank="1" showDropDown="1" sqref="E2:F15 BY2:BY15" xr:uid="{00000000-0002-0000-00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Chandrasekaran, Dinesh</cp:lastModifiedBy>
  <dcterms:modified xsi:type="dcterms:W3CDTF">2026-06-02T19:25:27Z</dcterms:modified>
</cp:coreProperties>
</file>