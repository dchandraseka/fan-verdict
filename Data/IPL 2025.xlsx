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fan-verdict\Data\"/>
    </mc:Choice>
  </mc:AlternateContent>
  <xr:revisionPtr revIDLastSave="0" documentId="13_ncr:1_{DCB1944E-EBE3-435C-9567-E7B22795EBF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oints" sheetId="1" r:id="rId1"/>
    <sheet name="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7" i="1" l="1"/>
  <c r="BM18" i="1" s="1"/>
  <c r="BL17" i="1"/>
  <c r="BL18" i="1" s="1"/>
  <c r="BK17" i="1"/>
  <c r="BK18" i="1" s="1"/>
  <c r="BJ17" i="1"/>
  <c r="BJ18" i="1" s="1"/>
  <c r="BI17" i="1"/>
  <c r="BI18" i="1" s="1"/>
  <c r="BH17" i="1"/>
  <c r="BH18" i="1" s="1"/>
  <c r="BG17" i="1"/>
  <c r="BG18" i="1" s="1"/>
  <c r="BF17" i="1"/>
  <c r="BF18" i="1" s="1"/>
  <c r="AS17" i="1"/>
  <c r="AS18" i="1" s="1"/>
  <c r="AR17" i="1"/>
  <c r="AR18" i="1" s="1"/>
  <c r="AQ17" i="1"/>
  <c r="AQ18" i="1" s="1"/>
  <c r="AP17" i="1"/>
  <c r="AP18" i="1" s="1"/>
  <c r="AO17" i="1"/>
  <c r="AO18" i="1" s="1"/>
  <c r="AN17" i="1"/>
  <c r="AN18" i="1" s="1"/>
  <c r="AM17" i="1"/>
  <c r="AM18" i="1" s="1"/>
  <c r="AL17" i="1"/>
  <c r="AL18" i="1" s="1"/>
  <c r="Y17" i="1"/>
  <c r="Y18" i="1" s="1"/>
  <c r="X17" i="1"/>
  <c r="X18" i="1" s="1"/>
  <c r="W17" i="1"/>
  <c r="W18" i="1" s="1"/>
  <c r="V17" i="1"/>
  <c r="V18" i="1" s="1"/>
  <c r="U17" i="1"/>
  <c r="U18" i="1" s="1"/>
  <c r="T17" i="1"/>
  <c r="T18" i="1" s="1"/>
  <c r="S17" i="1"/>
  <c r="S18" i="1" s="1"/>
  <c r="R17" i="1"/>
  <c r="R18" i="1" s="1"/>
  <c r="E17" i="1"/>
  <c r="E18" i="1" s="1"/>
  <c r="D17" i="1"/>
  <c r="D18" i="1" s="1"/>
  <c r="C17" i="1"/>
  <c r="C18" i="1" s="1"/>
  <c r="B17" i="1"/>
  <c r="B18" i="1" s="1"/>
  <c r="BQ16" i="1"/>
  <c r="BQ17" i="1" s="1"/>
  <c r="BQ18" i="1" s="1"/>
  <c r="BP16" i="1"/>
  <c r="BP17" i="1" s="1"/>
  <c r="BP18" i="1" s="1"/>
  <c r="BO16" i="1"/>
  <c r="BO17" i="1" s="1"/>
  <c r="BO18" i="1" s="1"/>
  <c r="BN16" i="1"/>
  <c r="BN17" i="1" s="1"/>
  <c r="BN18" i="1" s="1"/>
  <c r="BM16" i="1"/>
  <c r="BL16" i="1"/>
  <c r="BK16" i="1"/>
  <c r="BJ16" i="1"/>
  <c r="BI16" i="1"/>
  <c r="BH16" i="1"/>
  <c r="BG16" i="1"/>
  <c r="BF16" i="1"/>
  <c r="BE16" i="1"/>
  <c r="BE17" i="1" s="1"/>
  <c r="BE18" i="1" s="1"/>
  <c r="BD16" i="1"/>
  <c r="BD17" i="1" s="1"/>
  <c r="BD18" i="1" s="1"/>
  <c r="BC16" i="1"/>
  <c r="BC17" i="1" s="1"/>
  <c r="BC18" i="1" s="1"/>
  <c r="BB16" i="1"/>
  <c r="BB17" i="1" s="1"/>
  <c r="BB18" i="1" s="1"/>
  <c r="BA16" i="1"/>
  <c r="BA17" i="1" s="1"/>
  <c r="BA18" i="1" s="1"/>
  <c r="AZ16" i="1"/>
  <c r="AZ17" i="1" s="1"/>
  <c r="AZ18" i="1" s="1"/>
  <c r="AY16" i="1"/>
  <c r="AY17" i="1" s="1"/>
  <c r="AY18" i="1" s="1"/>
  <c r="AX16" i="1"/>
  <c r="AX17" i="1" s="1"/>
  <c r="AX18" i="1" s="1"/>
  <c r="AW16" i="1"/>
  <c r="AW17" i="1" s="1"/>
  <c r="AW18" i="1" s="1"/>
  <c r="AV16" i="1"/>
  <c r="AV17" i="1" s="1"/>
  <c r="AV18" i="1" s="1"/>
  <c r="AU16" i="1"/>
  <c r="AU17" i="1" s="1"/>
  <c r="AU18" i="1" s="1"/>
  <c r="AT16" i="1"/>
  <c r="AT17" i="1" s="1"/>
  <c r="AT18" i="1" s="1"/>
  <c r="AS16" i="1"/>
  <c r="AR16" i="1"/>
  <c r="AQ16" i="1"/>
  <c r="AP16" i="1"/>
  <c r="AO16" i="1"/>
  <c r="AN16" i="1"/>
  <c r="AM16" i="1"/>
  <c r="AL16" i="1"/>
  <c r="AK16" i="1"/>
  <c r="AK17" i="1" s="1"/>
  <c r="AK18" i="1" s="1"/>
  <c r="AJ16" i="1"/>
  <c r="AJ17" i="1" s="1"/>
  <c r="AJ18" i="1" s="1"/>
  <c r="AI16" i="1"/>
  <c r="AI17" i="1" s="1"/>
  <c r="AI18" i="1" s="1"/>
  <c r="AH16" i="1"/>
  <c r="AH17" i="1" s="1"/>
  <c r="AH18" i="1" s="1"/>
  <c r="AG16" i="1"/>
  <c r="AG17" i="1" s="1"/>
  <c r="AG18" i="1" s="1"/>
  <c r="AF16" i="1"/>
  <c r="AF17" i="1" s="1"/>
  <c r="AF18" i="1" s="1"/>
  <c r="AE16" i="1"/>
  <c r="AE17" i="1" s="1"/>
  <c r="AE18" i="1" s="1"/>
  <c r="AD16" i="1"/>
  <c r="AD17" i="1" s="1"/>
  <c r="AD18" i="1" s="1"/>
  <c r="AC16" i="1"/>
  <c r="AC17" i="1" s="1"/>
  <c r="AC18" i="1" s="1"/>
  <c r="AB16" i="1"/>
  <c r="AB17" i="1" s="1"/>
  <c r="AB18" i="1" s="1"/>
  <c r="AA16" i="1"/>
  <c r="AA17" i="1" s="1"/>
  <c r="AA18" i="1" s="1"/>
  <c r="Z16" i="1"/>
  <c r="Z17" i="1" s="1"/>
  <c r="Z18" i="1" s="1"/>
  <c r="Y16" i="1"/>
  <c r="X16" i="1"/>
  <c r="W16" i="1"/>
  <c r="V16" i="1"/>
  <c r="U16" i="1"/>
  <c r="T16" i="1"/>
  <c r="S16" i="1"/>
  <c r="R16" i="1"/>
  <c r="Q16" i="1"/>
  <c r="Q17" i="1" s="1"/>
  <c r="Q18" i="1" s="1"/>
  <c r="P16" i="1"/>
  <c r="P17" i="1" s="1"/>
  <c r="P18" i="1" s="1"/>
  <c r="O16" i="1"/>
  <c r="O17" i="1" s="1"/>
  <c r="O18" i="1" s="1"/>
  <c r="N16" i="1"/>
  <c r="N17" i="1" s="1"/>
  <c r="N18" i="1" s="1"/>
  <c r="M16" i="1"/>
  <c r="M17" i="1" s="1"/>
  <c r="M18" i="1" s="1"/>
  <c r="L16" i="1"/>
  <c r="L17" i="1" s="1"/>
  <c r="L18" i="1" s="1"/>
  <c r="K16" i="1"/>
  <c r="K17" i="1" s="1"/>
  <c r="K18" i="1" s="1"/>
  <c r="J16" i="1"/>
  <c r="J17" i="1" s="1"/>
  <c r="J18" i="1" s="1"/>
  <c r="I16" i="1"/>
  <c r="I17" i="1" s="1"/>
  <c r="I18" i="1" s="1"/>
  <c r="H16" i="1"/>
  <c r="H17" i="1" s="1"/>
  <c r="H18" i="1" s="1"/>
  <c r="G16" i="1"/>
  <c r="G17" i="1" s="1"/>
  <c r="G18" i="1" s="1"/>
  <c r="F16" i="1"/>
  <c r="F17" i="1" s="1"/>
  <c r="F18" i="1" s="1"/>
  <c r="E16" i="1"/>
  <c r="D16" i="1"/>
  <c r="C16" i="1"/>
  <c r="B16" i="1"/>
  <c r="BT15" i="1"/>
  <c r="BS15" i="1"/>
  <c r="BT14" i="1"/>
  <c r="BS14" i="1"/>
  <c r="BT13" i="1"/>
  <c r="BS13" i="1"/>
  <c r="BT12" i="1"/>
  <c r="BS12" i="1"/>
  <c r="BT11" i="1"/>
  <c r="BS11" i="1"/>
  <c r="BT10" i="1"/>
  <c r="BS10" i="1"/>
  <c r="BT9" i="1"/>
  <c r="BS9" i="1"/>
  <c r="BT8" i="1"/>
  <c r="BS8" i="1"/>
  <c r="BT7" i="1"/>
  <c r="BS7" i="1"/>
  <c r="BT6" i="1"/>
  <c r="BS6" i="1"/>
  <c r="BT5" i="1"/>
  <c r="BS5" i="1"/>
  <c r="BT4" i="1"/>
  <c r="BS4" i="1"/>
  <c r="BT3" i="1"/>
  <c r="BS3" i="1"/>
  <c r="BT2" i="1"/>
  <c r="BS2" i="1"/>
</calcChain>
</file>

<file path=xl/sharedStrings.xml><?xml version="1.0" encoding="utf-8"?>
<sst xmlns="http://schemas.openxmlformats.org/spreadsheetml/2006/main" count="109" uniqueCount="97">
  <si>
    <t>Points</t>
  </si>
  <si>
    <t>Game 4</t>
  </si>
  <si>
    <t>Game 5</t>
  </si>
  <si>
    <t>Game 6</t>
  </si>
  <si>
    <t>Game7</t>
  </si>
  <si>
    <t>Game8</t>
  </si>
  <si>
    <t>Game9</t>
  </si>
  <si>
    <t>Game10</t>
  </si>
  <si>
    <t>Game11</t>
  </si>
  <si>
    <t>Game12</t>
  </si>
  <si>
    <t>Game13</t>
  </si>
  <si>
    <t>Game14</t>
  </si>
  <si>
    <t>Game15</t>
  </si>
  <si>
    <t>Game16</t>
  </si>
  <si>
    <t>Game17</t>
  </si>
  <si>
    <t>Game18</t>
  </si>
  <si>
    <t>Game19</t>
  </si>
  <si>
    <t>Game20</t>
  </si>
  <si>
    <t>Game21</t>
  </si>
  <si>
    <t>Game22</t>
  </si>
  <si>
    <t>Game23</t>
  </si>
  <si>
    <t>Game24</t>
  </si>
  <si>
    <t>Game25</t>
  </si>
  <si>
    <t>Game26</t>
  </si>
  <si>
    <t>Game27</t>
  </si>
  <si>
    <t>Game28</t>
  </si>
  <si>
    <t>Game29</t>
  </si>
  <si>
    <t>Game30</t>
  </si>
  <si>
    <t>Game31</t>
  </si>
  <si>
    <t>Game32</t>
  </si>
  <si>
    <t>Game33</t>
  </si>
  <si>
    <t>Game34</t>
  </si>
  <si>
    <t>Game35</t>
  </si>
  <si>
    <t>Game36</t>
  </si>
  <si>
    <t>Game37</t>
  </si>
  <si>
    <t>Game38</t>
  </si>
  <si>
    <t>Game39</t>
  </si>
  <si>
    <t>Game40</t>
  </si>
  <si>
    <t>Game41</t>
  </si>
  <si>
    <t>Game42</t>
  </si>
  <si>
    <t>Game43</t>
  </si>
  <si>
    <t>Game45</t>
  </si>
  <si>
    <t>Game46</t>
  </si>
  <si>
    <t>Game47</t>
  </si>
  <si>
    <t>Game48</t>
  </si>
  <si>
    <t>Game49</t>
  </si>
  <si>
    <t>Game50</t>
  </si>
  <si>
    <t>Game51</t>
  </si>
  <si>
    <t>Game53</t>
  </si>
  <si>
    <t>Game54</t>
  </si>
  <si>
    <t>Game55</t>
  </si>
  <si>
    <t>Game56</t>
  </si>
  <si>
    <t>Game59</t>
  </si>
  <si>
    <t>Game60</t>
  </si>
  <si>
    <t>Game61</t>
  </si>
  <si>
    <t>Game62</t>
  </si>
  <si>
    <t>Game63</t>
  </si>
  <si>
    <t>Game64</t>
  </si>
  <si>
    <t>Game65</t>
  </si>
  <si>
    <t>Game66</t>
  </si>
  <si>
    <t>Game67</t>
  </si>
  <si>
    <t>Game68</t>
  </si>
  <si>
    <t>Game69</t>
  </si>
  <si>
    <t>Game70</t>
  </si>
  <si>
    <t>QF1</t>
  </si>
  <si>
    <t>QF2</t>
  </si>
  <si>
    <t>Finals</t>
  </si>
  <si>
    <t>Bonus</t>
  </si>
  <si>
    <t>Total</t>
  </si>
  <si>
    <t>Voter Accuracy</t>
  </si>
  <si>
    <t>Column 1</t>
  </si>
  <si>
    <t>Column 2</t>
  </si>
  <si>
    <t>Column 3</t>
  </si>
  <si>
    <t>Column 6</t>
  </si>
  <si>
    <t>VSR</t>
  </si>
  <si>
    <t>Sai</t>
  </si>
  <si>
    <t>RCB</t>
  </si>
  <si>
    <t>PBKS</t>
  </si>
  <si>
    <t>MI</t>
  </si>
  <si>
    <t>GT</t>
  </si>
  <si>
    <t>Venkat</t>
  </si>
  <si>
    <t>Hari</t>
  </si>
  <si>
    <t>Dinesh</t>
  </si>
  <si>
    <t>Senthil</t>
  </si>
  <si>
    <t>Vijay</t>
  </si>
  <si>
    <t>Kaushal</t>
  </si>
  <si>
    <t>Krishna</t>
  </si>
  <si>
    <t>Karthik</t>
  </si>
  <si>
    <t>Suresh</t>
  </si>
  <si>
    <t>Vignesh</t>
  </si>
  <si>
    <t>Sarath</t>
  </si>
  <si>
    <t>Ram</t>
  </si>
  <si>
    <t>No of winning voters</t>
  </si>
  <si>
    <t>Majority/Minority</t>
  </si>
  <si>
    <t>0s &amp; 1s</t>
  </si>
  <si>
    <t>Eliminator</t>
  </si>
  <si>
    <t>Game52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</si>
</sst>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4" fillId="0" borderId="0" xfId="0" applyFont="1"/>
  </cellXfs>
  <cellStyles count="1">
    <cellStyle name="Normal" xfId="0" builtinId="0"/>
  </cellStyles>
  <dxfs count="7"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oints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val>
            <c:numRef>
              <c:f>Chart!$A$1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822-48AB-BD63-BD920205E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5677647"/>
        <c:axId val="1249528444"/>
      </c:barChart>
      <c:catAx>
        <c:axId val="1635677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9528444"/>
        <c:crosses val="autoZero"/>
        <c:auto val="1"/>
        <c:lblAlgn val="ctr"/>
        <c:lblOffset val="100"/>
        <c:noMultiLvlLbl val="1"/>
      </c:catAx>
      <c:valAx>
        <c:axId val="12495284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6356776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5</xdr:row>
      <xdr:rowOff>85725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X15">
  <tableColumns count="76">
    <tableColumn id="1" xr3:uid="{00000000-0010-0000-0000-000001000000}" name="Points"/>
    <tableColumn id="2" xr3:uid="{00000000-0010-0000-0000-000002000000}" name="Game 4"/>
    <tableColumn id="3" xr3:uid="{00000000-0010-0000-0000-000003000000}" name="Game 5"/>
    <tableColumn id="4" xr3:uid="{00000000-0010-0000-0000-000004000000}" name="Game 6"/>
    <tableColumn id="5" xr3:uid="{00000000-0010-0000-0000-000005000000}" name="Game7"/>
    <tableColumn id="6" xr3:uid="{00000000-0010-0000-0000-000006000000}" name="Game8"/>
    <tableColumn id="7" xr3:uid="{00000000-0010-0000-0000-000007000000}" name="Game9"/>
    <tableColumn id="8" xr3:uid="{00000000-0010-0000-0000-000008000000}" name="Game10"/>
    <tableColumn id="9" xr3:uid="{00000000-0010-0000-0000-000009000000}" name="Game11"/>
    <tableColumn id="10" xr3:uid="{00000000-0010-0000-0000-00000A000000}" name="Game12"/>
    <tableColumn id="11" xr3:uid="{00000000-0010-0000-0000-00000B000000}" name="Game13"/>
    <tableColumn id="12" xr3:uid="{00000000-0010-0000-0000-00000C000000}" name="Game14"/>
    <tableColumn id="13" xr3:uid="{00000000-0010-0000-0000-00000D000000}" name="Game15"/>
    <tableColumn id="14" xr3:uid="{00000000-0010-0000-0000-00000E000000}" name="Game16"/>
    <tableColumn id="15" xr3:uid="{00000000-0010-0000-0000-00000F000000}" name="Game17"/>
    <tableColumn id="16" xr3:uid="{00000000-0010-0000-0000-000010000000}" name="Game18"/>
    <tableColumn id="17" xr3:uid="{00000000-0010-0000-0000-000011000000}" name="Game19"/>
    <tableColumn id="18" xr3:uid="{00000000-0010-0000-0000-000012000000}" name="Game20"/>
    <tableColumn id="19" xr3:uid="{00000000-0010-0000-0000-000013000000}" name="Game21"/>
    <tableColumn id="20" xr3:uid="{00000000-0010-0000-0000-000014000000}" name="Game22"/>
    <tableColumn id="21" xr3:uid="{00000000-0010-0000-0000-000015000000}" name="Game23"/>
    <tableColumn id="22" xr3:uid="{00000000-0010-0000-0000-000016000000}" name="Game24"/>
    <tableColumn id="23" xr3:uid="{00000000-0010-0000-0000-000017000000}" name="Game25"/>
    <tableColumn id="24" xr3:uid="{00000000-0010-0000-0000-000018000000}" name="Game26"/>
    <tableColumn id="25" xr3:uid="{00000000-0010-0000-0000-000019000000}" name="Game27"/>
    <tableColumn id="26" xr3:uid="{00000000-0010-0000-0000-00001A000000}" name="Game28"/>
    <tableColumn id="27" xr3:uid="{00000000-0010-0000-0000-00001B000000}" name="Game29"/>
    <tableColumn id="28" xr3:uid="{00000000-0010-0000-0000-00001C000000}" name="Game30"/>
    <tableColumn id="29" xr3:uid="{00000000-0010-0000-0000-00001D000000}" name="Game31"/>
    <tableColumn id="30" xr3:uid="{00000000-0010-0000-0000-00001E000000}" name="Game32"/>
    <tableColumn id="31" xr3:uid="{00000000-0010-0000-0000-00001F000000}" name="Game33"/>
    <tableColumn id="32" xr3:uid="{00000000-0010-0000-0000-000020000000}" name="Game34"/>
    <tableColumn id="33" xr3:uid="{00000000-0010-0000-0000-000021000000}" name="Game35"/>
    <tableColumn id="34" xr3:uid="{00000000-0010-0000-0000-000022000000}" name="Game36"/>
    <tableColumn id="35" xr3:uid="{00000000-0010-0000-0000-000023000000}" name="Game37"/>
    <tableColumn id="36" xr3:uid="{00000000-0010-0000-0000-000024000000}" name="Game38"/>
    <tableColumn id="37" xr3:uid="{00000000-0010-0000-0000-000025000000}" name="Game39"/>
    <tableColumn id="38" xr3:uid="{00000000-0010-0000-0000-000026000000}" name="Game40"/>
    <tableColumn id="39" xr3:uid="{00000000-0010-0000-0000-000027000000}" name="Game41"/>
    <tableColumn id="40" xr3:uid="{00000000-0010-0000-0000-000028000000}" name="Game42"/>
    <tableColumn id="41" xr3:uid="{00000000-0010-0000-0000-000029000000}" name="Game43"/>
    <tableColumn id="42" xr3:uid="{00000000-0010-0000-0000-00002A000000}" name="Game45"/>
    <tableColumn id="43" xr3:uid="{00000000-0010-0000-0000-00002B000000}" name="Game46"/>
    <tableColumn id="44" xr3:uid="{00000000-0010-0000-0000-00002C000000}" name="Game47"/>
    <tableColumn id="45" xr3:uid="{00000000-0010-0000-0000-00002D000000}" name="Game48"/>
    <tableColumn id="46" xr3:uid="{00000000-0010-0000-0000-00002E000000}" name="Game49"/>
    <tableColumn id="47" xr3:uid="{00000000-0010-0000-0000-00002F000000}" name="Game50"/>
    <tableColumn id="48" xr3:uid="{00000000-0010-0000-0000-000030000000}" name="Game51"/>
    <tableColumn id="49" xr3:uid="{00000000-0010-0000-0000-000031000000}" name="Game52"/>
    <tableColumn id="50" xr3:uid="{00000000-0010-0000-0000-000032000000}" name="Game53"/>
    <tableColumn id="51" xr3:uid="{00000000-0010-0000-0000-000033000000}" name="Game54"/>
    <tableColumn id="52" xr3:uid="{00000000-0010-0000-0000-000034000000}" name="Game55"/>
    <tableColumn id="53" xr3:uid="{00000000-0010-0000-0000-000035000000}" name="Game56"/>
    <tableColumn id="54" xr3:uid="{00000000-0010-0000-0000-000036000000}" name="Game59"/>
    <tableColumn id="55" xr3:uid="{00000000-0010-0000-0000-000037000000}" name="Game60"/>
    <tableColumn id="56" xr3:uid="{00000000-0010-0000-0000-000038000000}" name="Game61"/>
    <tableColumn id="57" xr3:uid="{00000000-0010-0000-0000-000039000000}" name="Game62"/>
    <tableColumn id="58" xr3:uid="{00000000-0010-0000-0000-00003A000000}" name="Game63"/>
    <tableColumn id="59" xr3:uid="{00000000-0010-0000-0000-00003B000000}" name="Game64"/>
    <tableColumn id="60" xr3:uid="{00000000-0010-0000-0000-00003C000000}" name="Game65"/>
    <tableColumn id="61" xr3:uid="{00000000-0010-0000-0000-00003D000000}" name="Game66"/>
    <tableColumn id="62" xr3:uid="{00000000-0010-0000-0000-00003E000000}" name="Game67"/>
    <tableColumn id="63" xr3:uid="{00000000-0010-0000-0000-00003F000000}" name="Game68"/>
    <tableColumn id="64" xr3:uid="{00000000-0010-0000-0000-000040000000}" name="Game69"/>
    <tableColumn id="65" xr3:uid="{00000000-0010-0000-0000-000041000000}" name="Game70"/>
    <tableColumn id="66" xr3:uid="{00000000-0010-0000-0000-000042000000}" name="QF1"/>
    <tableColumn id="67" xr3:uid="{00000000-0010-0000-0000-000043000000}" name="Eliminator"/>
    <tableColumn id="68" xr3:uid="{00000000-0010-0000-0000-000044000000}" name="QF2"/>
    <tableColumn id="69" xr3:uid="{00000000-0010-0000-0000-000045000000}" name="Finals"/>
    <tableColumn id="70" xr3:uid="{00000000-0010-0000-0000-000046000000}" name="Bonus"/>
    <tableColumn id="71" xr3:uid="{00000000-0010-0000-0000-000047000000}" name="Total"/>
    <tableColumn id="72" xr3:uid="{00000000-0010-0000-0000-000048000000}" name="Voter Accuracy"/>
    <tableColumn id="73" xr3:uid="{00000000-0010-0000-0000-000049000000}" name="Column 1"/>
    <tableColumn id="74" xr3:uid="{00000000-0010-0000-0000-00004A000000}" name="Column 2"/>
    <tableColumn id="75" xr3:uid="{00000000-0010-0000-0000-00004B000000}" name="Column 3"/>
    <tableColumn id="76" xr3:uid="{00000000-0010-0000-0000-00004C000000}" name="Column 6"/>
  </tableColumns>
  <tableStyleInfo name="Poi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18"/>
  <sheetViews>
    <sheetView tabSelected="1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AW2" sqref="AW2"/>
    </sheetView>
  </sheetViews>
  <sheetFormatPr defaultColWidth="12.5703125" defaultRowHeight="15.75" customHeight="1" x14ac:dyDescent="0.2"/>
  <cols>
    <col min="1" max="1" width="16.7109375" customWidth="1"/>
    <col min="2" max="2" width="15.42578125" customWidth="1"/>
    <col min="3" max="3" width="14.42578125" customWidth="1"/>
  </cols>
  <sheetData>
    <row r="1" spans="1:76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96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95</v>
      </c>
      <c r="BP1" s="3" t="s">
        <v>65</v>
      </c>
      <c r="BQ1" s="3" t="s">
        <v>66</v>
      </c>
      <c r="BR1" s="3" t="s">
        <v>67</v>
      </c>
      <c r="BS1" s="2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</row>
    <row r="2" spans="1:76" ht="22.5" customHeight="1" x14ac:dyDescent="0.2">
      <c r="A2" s="5" t="s">
        <v>74</v>
      </c>
      <c r="B2" s="6">
        <v>0</v>
      </c>
      <c r="C2" s="6">
        <v>0</v>
      </c>
      <c r="D2" s="7">
        <v>0</v>
      </c>
      <c r="E2" s="7">
        <v>0</v>
      </c>
      <c r="F2" s="7">
        <v>1</v>
      </c>
      <c r="G2" s="7">
        <v>0</v>
      </c>
      <c r="H2" s="6">
        <v>0</v>
      </c>
      <c r="I2" s="6">
        <v>1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1</v>
      </c>
      <c r="X2" s="6">
        <v>0</v>
      </c>
      <c r="Y2" s="6">
        <v>1</v>
      </c>
      <c r="Z2" s="6">
        <v>1</v>
      </c>
      <c r="AA2" s="6">
        <v>1</v>
      </c>
      <c r="AB2" s="6">
        <v>0</v>
      </c>
      <c r="AC2" s="6">
        <v>0</v>
      </c>
      <c r="AD2" s="6">
        <v>1</v>
      </c>
      <c r="AE2" s="6">
        <v>1</v>
      </c>
      <c r="AF2" s="6">
        <v>0</v>
      </c>
      <c r="AG2" s="6">
        <v>0</v>
      </c>
      <c r="AH2" s="6">
        <v>0</v>
      </c>
      <c r="AI2" s="6">
        <v>1</v>
      </c>
      <c r="AJ2" s="6">
        <v>1</v>
      </c>
      <c r="AK2" s="6">
        <v>0</v>
      </c>
      <c r="AL2" s="6">
        <v>0</v>
      </c>
      <c r="AM2" s="6">
        <v>1</v>
      </c>
      <c r="AN2" s="6">
        <v>1</v>
      </c>
      <c r="AO2" s="6">
        <v>1</v>
      </c>
      <c r="AP2" s="6">
        <v>1</v>
      </c>
      <c r="AQ2" s="6">
        <v>1</v>
      </c>
      <c r="AR2" s="6">
        <v>1</v>
      </c>
      <c r="AS2" s="6">
        <v>1</v>
      </c>
      <c r="AT2" s="6">
        <v>1</v>
      </c>
      <c r="AU2" s="6">
        <v>1</v>
      </c>
      <c r="AV2" s="6">
        <v>0</v>
      </c>
      <c r="AW2" s="6">
        <v>1</v>
      </c>
      <c r="AX2" s="6">
        <v>0</v>
      </c>
      <c r="AY2" s="6">
        <v>1</v>
      </c>
      <c r="AZ2" s="6">
        <v>0</v>
      </c>
      <c r="BA2" s="6">
        <v>0</v>
      </c>
      <c r="BB2" s="6">
        <v>1</v>
      </c>
      <c r="BC2" s="6">
        <v>0</v>
      </c>
      <c r="BD2" s="6">
        <v>1</v>
      </c>
      <c r="BE2" s="6">
        <v>1</v>
      </c>
      <c r="BF2" s="6">
        <v>1</v>
      </c>
      <c r="BG2" s="6">
        <v>0</v>
      </c>
      <c r="BH2" s="6">
        <v>0</v>
      </c>
      <c r="BI2" s="6">
        <v>0</v>
      </c>
      <c r="BJ2" s="6">
        <v>0</v>
      </c>
      <c r="BK2" s="6">
        <v>1</v>
      </c>
      <c r="BL2" s="6">
        <v>0</v>
      </c>
      <c r="BM2" s="6">
        <v>1</v>
      </c>
      <c r="BN2" s="6">
        <v>1</v>
      </c>
      <c r="BO2" s="6">
        <v>1</v>
      </c>
      <c r="BP2" s="6">
        <v>0</v>
      </c>
      <c r="BQ2" s="6">
        <v>1</v>
      </c>
      <c r="BR2" s="8">
        <v>4</v>
      </c>
      <c r="BS2" s="6">
        <f t="shared" ref="BS2:BS15" si="0">SUM(B2:BR2)</f>
        <v>37</v>
      </c>
      <c r="BT2" s="9">
        <f t="shared" ref="BT2:BT15" si="1">COUNTIF(B2:BQ2, 1)/COUNTA(B2:BQ2)</f>
        <v>0.48529411764705882</v>
      </c>
      <c r="BU2" s="10" t="s">
        <v>67</v>
      </c>
      <c r="BV2" s="9"/>
      <c r="BW2" s="9"/>
      <c r="BX2" s="9"/>
    </row>
    <row r="3" spans="1:76" ht="22.5" customHeight="1" x14ac:dyDescent="0.2">
      <c r="A3" s="11" t="s">
        <v>75</v>
      </c>
      <c r="B3" s="12">
        <v>1</v>
      </c>
      <c r="C3" s="6">
        <v>1</v>
      </c>
      <c r="D3" s="7">
        <v>1</v>
      </c>
      <c r="E3" s="7">
        <v>0</v>
      </c>
      <c r="F3" s="7">
        <v>1</v>
      </c>
      <c r="G3" s="7">
        <v>0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1</v>
      </c>
      <c r="S3" s="6">
        <v>0</v>
      </c>
      <c r="T3" s="6">
        <v>1</v>
      </c>
      <c r="U3" s="6">
        <v>1</v>
      </c>
      <c r="V3" s="6">
        <v>0</v>
      </c>
      <c r="W3" s="6">
        <v>1</v>
      </c>
      <c r="X3" s="6">
        <v>0</v>
      </c>
      <c r="Y3" s="6">
        <v>0</v>
      </c>
      <c r="Z3" s="6">
        <v>1</v>
      </c>
      <c r="AA3" s="6">
        <v>0</v>
      </c>
      <c r="AB3" s="6">
        <v>0</v>
      </c>
      <c r="AC3" s="6">
        <v>1</v>
      </c>
      <c r="AD3" s="6">
        <v>1</v>
      </c>
      <c r="AE3" s="6">
        <v>0</v>
      </c>
      <c r="AF3" s="6">
        <v>0</v>
      </c>
      <c r="AG3" s="6">
        <v>1</v>
      </c>
      <c r="AH3" s="6">
        <v>1</v>
      </c>
      <c r="AI3" s="6">
        <v>1</v>
      </c>
      <c r="AJ3" s="6">
        <v>0</v>
      </c>
      <c r="AK3" s="6">
        <v>0</v>
      </c>
      <c r="AL3" s="6">
        <v>1</v>
      </c>
      <c r="AM3" s="6">
        <v>0</v>
      </c>
      <c r="AN3" s="6">
        <v>1</v>
      </c>
      <c r="AO3" s="6">
        <v>1</v>
      </c>
      <c r="AP3" s="6">
        <v>0</v>
      </c>
      <c r="AQ3" s="6">
        <v>1</v>
      </c>
      <c r="AR3" s="6">
        <v>0</v>
      </c>
      <c r="AS3" s="6">
        <v>0</v>
      </c>
      <c r="AT3" s="6">
        <v>1</v>
      </c>
      <c r="AU3" s="6">
        <v>0</v>
      </c>
      <c r="AV3" s="6">
        <v>1</v>
      </c>
      <c r="AW3" s="6">
        <v>1</v>
      </c>
      <c r="AX3" s="6">
        <v>1</v>
      </c>
      <c r="AY3" s="6">
        <v>1</v>
      </c>
      <c r="AZ3" s="6">
        <v>0</v>
      </c>
      <c r="BA3" s="6">
        <v>0</v>
      </c>
      <c r="BB3" s="6">
        <v>1</v>
      </c>
      <c r="BC3" s="6">
        <v>1</v>
      </c>
      <c r="BD3" s="6">
        <v>1</v>
      </c>
      <c r="BE3" s="6">
        <v>0</v>
      </c>
      <c r="BF3" s="6">
        <v>1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1</v>
      </c>
      <c r="BN3" s="6">
        <v>1</v>
      </c>
      <c r="BO3" s="6">
        <v>0</v>
      </c>
      <c r="BP3" s="6">
        <v>1</v>
      </c>
      <c r="BQ3" s="6">
        <v>1</v>
      </c>
      <c r="BR3" s="8">
        <v>4</v>
      </c>
      <c r="BS3" s="6">
        <f t="shared" si="0"/>
        <v>37</v>
      </c>
      <c r="BT3" s="9">
        <f t="shared" si="1"/>
        <v>0.48529411764705882</v>
      </c>
      <c r="BU3" s="13" t="s">
        <v>76</v>
      </c>
      <c r="BV3" s="7" t="s">
        <v>77</v>
      </c>
      <c r="BW3" s="7" t="s">
        <v>78</v>
      </c>
      <c r="BX3" s="7" t="s">
        <v>79</v>
      </c>
    </row>
    <row r="4" spans="1:76" ht="22.5" customHeight="1" x14ac:dyDescent="0.2">
      <c r="A4" s="11" t="s">
        <v>80</v>
      </c>
      <c r="B4" s="12">
        <v>1</v>
      </c>
      <c r="C4" s="7">
        <v>1</v>
      </c>
      <c r="D4" s="7">
        <v>0</v>
      </c>
      <c r="E4" s="7">
        <v>0</v>
      </c>
      <c r="F4" s="7">
        <v>0</v>
      </c>
      <c r="G4" s="7">
        <v>1</v>
      </c>
      <c r="H4" s="6">
        <v>1</v>
      </c>
      <c r="I4" s="6">
        <v>0</v>
      </c>
      <c r="J4" s="6">
        <v>1</v>
      </c>
      <c r="K4" s="6">
        <v>1</v>
      </c>
      <c r="L4" s="6">
        <v>0</v>
      </c>
      <c r="M4" s="6">
        <v>0</v>
      </c>
      <c r="N4" s="6">
        <v>1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1</v>
      </c>
      <c r="V4" s="6">
        <v>1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1</v>
      </c>
      <c r="AD4" s="6">
        <v>1</v>
      </c>
      <c r="AE4" s="6">
        <v>1</v>
      </c>
      <c r="AF4" s="6">
        <v>1</v>
      </c>
      <c r="AG4" s="6">
        <v>0</v>
      </c>
      <c r="AH4" s="6">
        <v>1</v>
      </c>
      <c r="AI4" s="6">
        <v>0</v>
      </c>
      <c r="AJ4" s="6">
        <v>0</v>
      </c>
      <c r="AK4" s="6">
        <v>1</v>
      </c>
      <c r="AL4" s="6">
        <v>1</v>
      </c>
      <c r="AM4" s="6">
        <v>1</v>
      </c>
      <c r="AN4" s="6">
        <v>1</v>
      </c>
      <c r="AO4" s="6">
        <v>1</v>
      </c>
      <c r="AP4" s="6">
        <v>1</v>
      </c>
      <c r="AQ4" s="6">
        <v>0</v>
      </c>
      <c r="AR4" s="6">
        <v>0</v>
      </c>
      <c r="AS4" s="6">
        <v>0</v>
      </c>
      <c r="AT4" s="6">
        <v>1</v>
      </c>
      <c r="AU4" s="6">
        <v>1</v>
      </c>
      <c r="AV4" s="6">
        <v>1</v>
      </c>
      <c r="AW4" s="6">
        <v>0</v>
      </c>
      <c r="AX4" s="6">
        <v>1</v>
      </c>
      <c r="AY4" s="6">
        <v>1</v>
      </c>
      <c r="AZ4" s="6">
        <v>0</v>
      </c>
      <c r="BA4" s="6">
        <v>0</v>
      </c>
      <c r="BB4" s="6">
        <v>1</v>
      </c>
      <c r="BC4" s="6">
        <v>1</v>
      </c>
      <c r="BD4" s="6">
        <v>0</v>
      </c>
      <c r="BE4" s="6">
        <v>0</v>
      </c>
      <c r="BF4" s="6">
        <v>1</v>
      </c>
      <c r="BG4" s="6">
        <v>0</v>
      </c>
      <c r="BH4" s="6">
        <v>0</v>
      </c>
      <c r="BI4" s="6">
        <v>0</v>
      </c>
      <c r="BJ4" s="6">
        <v>0</v>
      </c>
      <c r="BK4" s="6">
        <v>1</v>
      </c>
      <c r="BL4" s="6">
        <v>1</v>
      </c>
      <c r="BM4" s="6">
        <v>1</v>
      </c>
      <c r="BN4" s="6">
        <v>0</v>
      </c>
      <c r="BO4" s="6">
        <v>1</v>
      </c>
      <c r="BP4" s="6">
        <v>1</v>
      </c>
      <c r="BQ4" s="6">
        <v>0</v>
      </c>
      <c r="BR4" s="8">
        <v>0</v>
      </c>
      <c r="BS4" s="6">
        <f t="shared" si="0"/>
        <v>35</v>
      </c>
      <c r="BT4" s="9">
        <f t="shared" si="1"/>
        <v>0.51470588235294112</v>
      </c>
      <c r="BU4" s="13" t="s">
        <v>81</v>
      </c>
      <c r="BV4" s="7" t="s">
        <v>82</v>
      </c>
      <c r="BW4" s="7" t="s">
        <v>83</v>
      </c>
      <c r="BX4" s="7" t="s">
        <v>84</v>
      </c>
    </row>
    <row r="5" spans="1:76" ht="22.5" customHeight="1" x14ac:dyDescent="0.2">
      <c r="A5" s="5" t="s">
        <v>85</v>
      </c>
      <c r="B5" s="6">
        <v>0</v>
      </c>
      <c r="C5" s="6">
        <v>0</v>
      </c>
      <c r="D5" s="7">
        <v>1</v>
      </c>
      <c r="E5" s="7">
        <v>1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1</v>
      </c>
      <c r="R5" s="6">
        <v>0</v>
      </c>
      <c r="S5" s="6">
        <v>1</v>
      </c>
      <c r="T5" s="6">
        <v>1</v>
      </c>
      <c r="U5" s="6">
        <v>1</v>
      </c>
      <c r="V5" s="6">
        <v>0</v>
      </c>
      <c r="W5" s="6">
        <v>1</v>
      </c>
      <c r="X5" s="6">
        <v>0</v>
      </c>
      <c r="Y5" s="6">
        <v>0</v>
      </c>
      <c r="Z5" s="6">
        <v>1</v>
      </c>
      <c r="AA5" s="6">
        <v>1</v>
      </c>
      <c r="AB5" s="6">
        <v>0</v>
      </c>
      <c r="AC5" s="6">
        <v>0</v>
      </c>
      <c r="AD5" s="6">
        <v>0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6">
        <v>1</v>
      </c>
      <c r="AO5" s="6">
        <v>1</v>
      </c>
      <c r="AP5" s="6">
        <v>1</v>
      </c>
      <c r="AQ5" s="6">
        <v>1</v>
      </c>
      <c r="AR5" s="6">
        <v>0</v>
      </c>
      <c r="AS5" s="6">
        <v>1</v>
      </c>
      <c r="AT5" s="6">
        <v>1</v>
      </c>
      <c r="AU5" s="6">
        <v>1</v>
      </c>
      <c r="AV5" s="6">
        <v>1</v>
      </c>
      <c r="AW5" s="6">
        <v>0</v>
      </c>
      <c r="AX5" s="6">
        <v>1</v>
      </c>
      <c r="AY5" s="6">
        <v>1</v>
      </c>
      <c r="AZ5" s="6">
        <v>1</v>
      </c>
      <c r="BA5" s="6">
        <v>0</v>
      </c>
      <c r="BB5" s="6">
        <v>1</v>
      </c>
      <c r="BC5" s="6">
        <v>1</v>
      </c>
      <c r="BD5" s="6">
        <v>0</v>
      </c>
      <c r="BE5" s="6">
        <v>1</v>
      </c>
      <c r="BF5" s="6">
        <v>1</v>
      </c>
      <c r="BG5" s="6">
        <v>0</v>
      </c>
      <c r="BH5" s="6">
        <v>0</v>
      </c>
      <c r="BI5" s="6">
        <v>0</v>
      </c>
      <c r="BJ5" s="6">
        <v>0</v>
      </c>
      <c r="BK5" s="6">
        <v>1</v>
      </c>
      <c r="BL5" s="6">
        <v>0</v>
      </c>
      <c r="BM5" s="6">
        <v>0</v>
      </c>
      <c r="BN5" s="6">
        <v>0</v>
      </c>
      <c r="BO5" s="6">
        <v>1</v>
      </c>
      <c r="BP5" s="6">
        <v>1</v>
      </c>
      <c r="BQ5" s="6">
        <v>0</v>
      </c>
      <c r="BR5" s="8">
        <v>0</v>
      </c>
      <c r="BS5" s="6">
        <f t="shared" si="0"/>
        <v>32</v>
      </c>
      <c r="BT5" s="9">
        <f t="shared" si="1"/>
        <v>0.47058823529411764</v>
      </c>
      <c r="BU5" s="13" t="s">
        <v>74</v>
      </c>
      <c r="BV5" s="7" t="s">
        <v>86</v>
      </c>
    </row>
    <row r="6" spans="1:76" ht="22.5" customHeight="1" x14ac:dyDescent="0.2">
      <c r="A6" s="14" t="s">
        <v>81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1</v>
      </c>
      <c r="AH6" s="8">
        <v>1</v>
      </c>
      <c r="AI6" s="8">
        <v>1</v>
      </c>
      <c r="AJ6" s="8">
        <v>1</v>
      </c>
      <c r="AK6" s="8">
        <v>0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0</v>
      </c>
      <c r="AS6" s="8">
        <v>0</v>
      </c>
      <c r="AT6" s="8">
        <v>1</v>
      </c>
      <c r="AU6" s="8">
        <v>1</v>
      </c>
      <c r="AV6" s="8">
        <v>1</v>
      </c>
      <c r="AW6" s="8">
        <v>1</v>
      </c>
      <c r="AX6" s="8">
        <v>1</v>
      </c>
      <c r="AY6" s="8">
        <v>1</v>
      </c>
      <c r="AZ6" s="8">
        <v>1</v>
      </c>
      <c r="BA6" s="8">
        <v>0</v>
      </c>
      <c r="BB6" s="8">
        <v>1</v>
      </c>
      <c r="BC6" s="8">
        <v>0</v>
      </c>
      <c r="BD6" s="8">
        <v>0</v>
      </c>
      <c r="BE6" s="8">
        <v>0</v>
      </c>
      <c r="BF6" s="8">
        <v>1</v>
      </c>
      <c r="BG6" s="8">
        <v>0</v>
      </c>
      <c r="BH6" s="8">
        <v>0</v>
      </c>
      <c r="BI6" s="8">
        <v>0</v>
      </c>
      <c r="BJ6" s="8">
        <v>0</v>
      </c>
      <c r="BK6" s="8">
        <v>1</v>
      </c>
      <c r="BL6" s="8">
        <v>1</v>
      </c>
      <c r="BM6" s="8">
        <v>1</v>
      </c>
      <c r="BN6" s="8">
        <v>1</v>
      </c>
      <c r="BO6" s="8">
        <v>1</v>
      </c>
      <c r="BP6" s="8">
        <v>1</v>
      </c>
      <c r="BQ6" s="8">
        <v>1</v>
      </c>
      <c r="BR6" s="8">
        <v>4</v>
      </c>
      <c r="BS6" s="6">
        <f t="shared" si="0"/>
        <v>31</v>
      </c>
      <c r="BT6" s="9">
        <f t="shared" si="1"/>
        <v>0.39705882352941174</v>
      </c>
      <c r="BU6" s="13" t="s">
        <v>75</v>
      </c>
      <c r="BV6" s="7" t="s">
        <v>85</v>
      </c>
    </row>
    <row r="7" spans="1:76" ht="22.5" customHeight="1" x14ac:dyDescent="0.2">
      <c r="A7" s="11" t="s">
        <v>82</v>
      </c>
      <c r="B7" s="12">
        <v>0</v>
      </c>
      <c r="C7" s="7">
        <v>0</v>
      </c>
      <c r="D7" s="7">
        <v>1</v>
      </c>
      <c r="E7" s="7">
        <v>0</v>
      </c>
      <c r="F7" s="7">
        <v>0</v>
      </c>
      <c r="G7" s="7">
        <v>0</v>
      </c>
      <c r="H7" s="6">
        <v>0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1</v>
      </c>
      <c r="Q7" s="6">
        <v>0</v>
      </c>
      <c r="R7" s="6">
        <v>0</v>
      </c>
      <c r="S7" s="6">
        <v>1</v>
      </c>
      <c r="T7" s="6">
        <v>1</v>
      </c>
      <c r="U7" s="6">
        <v>0</v>
      </c>
      <c r="V7" s="6">
        <v>1</v>
      </c>
      <c r="W7" s="6">
        <v>1</v>
      </c>
      <c r="X7" s="6">
        <v>0</v>
      </c>
      <c r="Y7" s="6">
        <v>1</v>
      </c>
      <c r="Z7" s="6">
        <v>0</v>
      </c>
      <c r="AA7" s="6">
        <v>1</v>
      </c>
      <c r="AB7" s="6">
        <v>0</v>
      </c>
      <c r="AC7" s="6">
        <v>1</v>
      </c>
      <c r="AD7" s="6">
        <v>1</v>
      </c>
      <c r="AE7" s="6">
        <v>0</v>
      </c>
      <c r="AF7" s="6">
        <v>1</v>
      </c>
      <c r="AG7" s="6">
        <v>0</v>
      </c>
      <c r="AH7" s="6">
        <v>1</v>
      </c>
      <c r="AI7" s="6">
        <v>0</v>
      </c>
      <c r="AJ7" s="6">
        <v>1</v>
      </c>
      <c r="AK7" s="6">
        <v>0</v>
      </c>
      <c r="AL7" s="6">
        <v>1</v>
      </c>
      <c r="AM7" s="6">
        <v>1</v>
      </c>
      <c r="AN7" s="6">
        <v>1</v>
      </c>
      <c r="AO7" s="6">
        <v>1</v>
      </c>
      <c r="AP7" s="6">
        <v>0</v>
      </c>
      <c r="AQ7" s="6">
        <v>1</v>
      </c>
      <c r="AR7" s="6">
        <v>0</v>
      </c>
      <c r="AS7" s="6">
        <v>0</v>
      </c>
      <c r="AT7" s="6">
        <v>1</v>
      </c>
      <c r="AU7" s="6">
        <v>1</v>
      </c>
      <c r="AV7" s="6">
        <v>0</v>
      </c>
      <c r="AW7" s="6">
        <v>1</v>
      </c>
      <c r="AX7" s="6">
        <v>1</v>
      </c>
      <c r="AY7" s="6">
        <v>0</v>
      </c>
      <c r="AZ7" s="6">
        <v>0</v>
      </c>
      <c r="BA7" s="6">
        <v>0</v>
      </c>
      <c r="BB7" s="6">
        <v>1</v>
      </c>
      <c r="BC7" s="6">
        <v>1</v>
      </c>
      <c r="BD7" s="6">
        <v>0</v>
      </c>
      <c r="BE7" s="6">
        <v>0</v>
      </c>
      <c r="BF7" s="6">
        <v>1</v>
      </c>
      <c r="BG7" s="6">
        <v>0</v>
      </c>
      <c r="BH7" s="6">
        <v>1</v>
      </c>
      <c r="BI7" s="6">
        <v>0</v>
      </c>
      <c r="BJ7" s="6">
        <v>0</v>
      </c>
      <c r="BK7" s="6">
        <v>1</v>
      </c>
      <c r="BL7" s="6">
        <v>0</v>
      </c>
      <c r="BM7" s="6">
        <v>0</v>
      </c>
      <c r="BN7" s="6">
        <v>0</v>
      </c>
      <c r="BO7" s="6">
        <v>0</v>
      </c>
      <c r="BP7" s="6">
        <v>1</v>
      </c>
      <c r="BQ7" s="6">
        <v>0</v>
      </c>
      <c r="BR7" s="8">
        <v>0</v>
      </c>
      <c r="BS7" s="6">
        <f t="shared" si="0"/>
        <v>30</v>
      </c>
      <c r="BT7" s="9">
        <f t="shared" si="1"/>
        <v>0.44117647058823528</v>
      </c>
      <c r="BV7" s="7" t="s">
        <v>87</v>
      </c>
    </row>
    <row r="8" spans="1:76" ht="22.5" customHeight="1" x14ac:dyDescent="0.2">
      <c r="A8" s="5" t="s">
        <v>83</v>
      </c>
      <c r="B8" s="7">
        <v>0</v>
      </c>
      <c r="C8" s="7">
        <v>0</v>
      </c>
      <c r="D8" s="7">
        <v>1</v>
      </c>
      <c r="E8" s="7">
        <v>0</v>
      </c>
      <c r="F8" s="7">
        <v>0</v>
      </c>
      <c r="G8" s="7">
        <v>1</v>
      </c>
      <c r="H8" s="6">
        <v>0</v>
      </c>
      <c r="I8" s="6">
        <v>0</v>
      </c>
      <c r="J8" s="6">
        <v>0</v>
      </c>
      <c r="K8" s="6">
        <v>1</v>
      </c>
      <c r="L8" s="6">
        <v>0</v>
      </c>
      <c r="M8" s="6">
        <v>1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1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0</v>
      </c>
      <c r="AH8" s="6">
        <v>1</v>
      </c>
      <c r="AI8" s="6">
        <v>0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0</v>
      </c>
      <c r="AP8" s="6">
        <v>1</v>
      </c>
      <c r="AQ8" s="6">
        <v>0</v>
      </c>
      <c r="AR8" s="6">
        <v>0</v>
      </c>
      <c r="AS8" s="6">
        <v>0</v>
      </c>
      <c r="AT8" s="6">
        <v>1</v>
      </c>
      <c r="AU8" s="6">
        <v>1</v>
      </c>
      <c r="AV8" s="6">
        <v>1</v>
      </c>
      <c r="AW8" s="6">
        <v>0</v>
      </c>
      <c r="AX8" s="6">
        <v>1</v>
      </c>
      <c r="AY8" s="6">
        <v>1</v>
      </c>
      <c r="AZ8" s="6">
        <v>0</v>
      </c>
      <c r="BA8" s="6">
        <v>0</v>
      </c>
      <c r="BB8" s="6">
        <v>1</v>
      </c>
      <c r="BC8" s="6">
        <v>1</v>
      </c>
      <c r="BD8" s="6">
        <v>1</v>
      </c>
      <c r="BE8" s="6">
        <v>0</v>
      </c>
      <c r="BF8" s="6">
        <v>1</v>
      </c>
      <c r="BG8" s="6">
        <v>0</v>
      </c>
      <c r="BH8" s="6">
        <v>0</v>
      </c>
      <c r="BI8" s="6">
        <v>0</v>
      </c>
      <c r="BJ8" s="6">
        <v>0</v>
      </c>
      <c r="BK8" s="6">
        <v>1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8">
        <v>0</v>
      </c>
      <c r="BS8" s="6">
        <f t="shared" si="0"/>
        <v>29</v>
      </c>
      <c r="BT8" s="9">
        <f t="shared" si="1"/>
        <v>0.4264705882352941</v>
      </c>
      <c r="BV8" s="7" t="s">
        <v>88</v>
      </c>
    </row>
    <row r="9" spans="1:76" ht="22.5" customHeight="1" x14ac:dyDescent="0.2">
      <c r="A9" s="11" t="s">
        <v>86</v>
      </c>
      <c r="B9" s="12">
        <v>0</v>
      </c>
      <c r="C9" s="7">
        <v>1</v>
      </c>
      <c r="D9" s="7">
        <v>1</v>
      </c>
      <c r="E9" s="7">
        <v>0</v>
      </c>
      <c r="F9" s="7">
        <v>0</v>
      </c>
      <c r="G9" s="7">
        <v>0</v>
      </c>
      <c r="H9" s="6">
        <v>0</v>
      </c>
      <c r="I9" s="6">
        <v>0</v>
      </c>
      <c r="J9" s="6">
        <v>1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0</v>
      </c>
      <c r="X9" s="6">
        <v>0</v>
      </c>
      <c r="Y9" s="6">
        <v>1</v>
      </c>
      <c r="Z9" s="6">
        <v>0</v>
      </c>
      <c r="AA9" s="6">
        <v>1</v>
      </c>
      <c r="AB9" s="6">
        <v>1</v>
      </c>
      <c r="AC9" s="6">
        <v>0</v>
      </c>
      <c r="AD9" s="6">
        <v>1</v>
      </c>
      <c r="AE9" s="6">
        <v>0</v>
      </c>
      <c r="AF9" s="6">
        <v>1</v>
      </c>
      <c r="AG9" s="6">
        <v>0</v>
      </c>
      <c r="AH9" s="6">
        <v>1</v>
      </c>
      <c r="AI9" s="6">
        <v>0</v>
      </c>
      <c r="AJ9" s="6">
        <v>1</v>
      </c>
      <c r="AK9" s="6">
        <v>0</v>
      </c>
      <c r="AL9" s="6">
        <v>0</v>
      </c>
      <c r="AM9" s="6">
        <v>1</v>
      </c>
      <c r="AN9" s="6">
        <v>1</v>
      </c>
      <c r="AO9" s="6">
        <v>0</v>
      </c>
      <c r="AP9" s="6">
        <v>1</v>
      </c>
      <c r="AQ9" s="6">
        <v>1</v>
      </c>
      <c r="AR9" s="6">
        <v>0</v>
      </c>
      <c r="AS9" s="6">
        <v>0</v>
      </c>
      <c r="AT9" s="6">
        <v>0</v>
      </c>
      <c r="AU9" s="6">
        <v>1</v>
      </c>
      <c r="AV9" s="6">
        <v>0</v>
      </c>
      <c r="AW9" s="6">
        <v>0</v>
      </c>
      <c r="AX9" s="6">
        <v>1</v>
      </c>
      <c r="AY9" s="6">
        <v>1</v>
      </c>
      <c r="AZ9" s="6">
        <v>0</v>
      </c>
      <c r="BA9" s="6">
        <v>1</v>
      </c>
      <c r="BB9" s="6">
        <v>1</v>
      </c>
      <c r="BC9" s="6">
        <v>1</v>
      </c>
      <c r="BD9" s="6">
        <v>1</v>
      </c>
      <c r="BE9" s="6">
        <v>0</v>
      </c>
      <c r="BF9" s="6">
        <v>1</v>
      </c>
      <c r="BG9" s="6">
        <v>0</v>
      </c>
      <c r="BH9" s="6">
        <v>1</v>
      </c>
      <c r="BI9" s="6">
        <v>0</v>
      </c>
      <c r="BJ9" s="6">
        <v>1</v>
      </c>
      <c r="BK9" s="6">
        <v>1</v>
      </c>
      <c r="BL9" s="6">
        <v>0</v>
      </c>
      <c r="BM9" s="6">
        <v>0</v>
      </c>
      <c r="BN9" s="6">
        <v>0</v>
      </c>
      <c r="BO9" s="6">
        <v>1</v>
      </c>
      <c r="BP9" s="6">
        <v>1</v>
      </c>
      <c r="BQ9" s="6">
        <v>0</v>
      </c>
      <c r="BR9" s="8">
        <v>0</v>
      </c>
      <c r="BS9" s="6">
        <f t="shared" si="0"/>
        <v>29</v>
      </c>
      <c r="BT9" s="9">
        <f t="shared" si="1"/>
        <v>0.4264705882352941</v>
      </c>
      <c r="BV9" s="7" t="s">
        <v>80</v>
      </c>
    </row>
    <row r="10" spans="1:76" ht="22.5" customHeight="1" x14ac:dyDescent="0.2">
      <c r="A10" s="11" t="s">
        <v>87</v>
      </c>
      <c r="B10" s="12">
        <v>1</v>
      </c>
      <c r="C10" s="7">
        <v>0</v>
      </c>
      <c r="D10" s="7">
        <v>1</v>
      </c>
      <c r="E10" s="7">
        <v>0</v>
      </c>
      <c r="F10" s="7">
        <v>1</v>
      </c>
      <c r="G10" s="7">
        <v>0</v>
      </c>
      <c r="H10" s="6">
        <v>1</v>
      </c>
      <c r="I10" s="6">
        <v>0</v>
      </c>
      <c r="J10" s="6">
        <v>1</v>
      </c>
      <c r="K10" s="6">
        <v>1</v>
      </c>
      <c r="L10" s="6">
        <v>1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1</v>
      </c>
      <c r="W10" s="6">
        <v>1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1</v>
      </c>
      <c r="AD10" s="6">
        <v>0</v>
      </c>
      <c r="AE10" s="6">
        <v>0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6">
        <v>1</v>
      </c>
      <c r="AO10" s="6">
        <v>0</v>
      </c>
      <c r="AP10" s="6">
        <v>0</v>
      </c>
      <c r="AQ10" s="6">
        <v>1</v>
      </c>
      <c r="AR10" s="6">
        <v>0</v>
      </c>
      <c r="AS10" s="6">
        <v>1</v>
      </c>
      <c r="AT10" s="6">
        <v>0</v>
      </c>
      <c r="AU10" s="6">
        <v>0</v>
      </c>
      <c r="AV10" s="6">
        <v>0</v>
      </c>
      <c r="AW10" s="6">
        <v>0</v>
      </c>
      <c r="AX10" s="6">
        <v>1</v>
      </c>
      <c r="AY10" s="6">
        <v>1</v>
      </c>
      <c r="AZ10" s="6">
        <v>1</v>
      </c>
      <c r="BA10" s="6">
        <v>1</v>
      </c>
      <c r="BB10" s="6">
        <v>1</v>
      </c>
      <c r="BC10" s="6">
        <v>1</v>
      </c>
      <c r="BD10" s="6">
        <v>0</v>
      </c>
      <c r="BE10" s="6">
        <v>0</v>
      </c>
      <c r="BF10" s="6">
        <v>1</v>
      </c>
      <c r="BG10" s="6">
        <v>0</v>
      </c>
      <c r="BH10" s="6">
        <v>0</v>
      </c>
      <c r="BI10" s="6">
        <v>1</v>
      </c>
      <c r="BJ10" s="6">
        <v>1</v>
      </c>
      <c r="BK10" s="6">
        <v>0</v>
      </c>
      <c r="BL10" s="6">
        <v>1</v>
      </c>
      <c r="BM10" s="6">
        <v>0</v>
      </c>
      <c r="BN10" s="6">
        <v>0</v>
      </c>
      <c r="BO10" s="6">
        <v>1</v>
      </c>
      <c r="BP10" s="6">
        <v>0</v>
      </c>
      <c r="BQ10" s="6">
        <v>1</v>
      </c>
      <c r="BR10" s="8">
        <v>0</v>
      </c>
      <c r="BS10" s="6">
        <f t="shared" si="0"/>
        <v>29</v>
      </c>
      <c r="BT10" s="9">
        <f t="shared" si="1"/>
        <v>0.4264705882352941</v>
      </c>
      <c r="BU10" s="9"/>
      <c r="BV10" s="9"/>
      <c r="BW10" s="9"/>
      <c r="BX10" s="9"/>
    </row>
    <row r="11" spans="1:76" ht="22.5" customHeight="1" x14ac:dyDescent="0.2">
      <c r="A11" s="5" t="s">
        <v>88</v>
      </c>
      <c r="B11" s="6">
        <v>0</v>
      </c>
      <c r="C11" s="6">
        <v>0</v>
      </c>
      <c r="D11" s="7">
        <v>1</v>
      </c>
      <c r="E11" s="7">
        <v>1</v>
      </c>
      <c r="F11" s="7">
        <v>0</v>
      </c>
      <c r="G11" s="7">
        <v>0</v>
      </c>
      <c r="H11" s="6">
        <v>1</v>
      </c>
      <c r="I11" s="6">
        <v>0</v>
      </c>
      <c r="J11" s="6">
        <v>0</v>
      </c>
      <c r="K11" s="6">
        <v>1</v>
      </c>
      <c r="L11" s="6">
        <v>1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1</v>
      </c>
      <c r="U11" s="6">
        <v>1</v>
      </c>
      <c r="V11" s="6">
        <v>1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1</v>
      </c>
      <c r="AE11" s="6">
        <v>0</v>
      </c>
      <c r="AF11" s="6">
        <v>1</v>
      </c>
      <c r="AG11" s="6">
        <v>0</v>
      </c>
      <c r="AH11" s="6">
        <v>0</v>
      </c>
      <c r="AI11" s="6">
        <v>0</v>
      </c>
      <c r="AJ11" s="6">
        <v>1</v>
      </c>
      <c r="AK11" s="6">
        <v>1</v>
      </c>
      <c r="AL11" s="6">
        <v>1</v>
      </c>
      <c r="AM11" s="6">
        <v>1</v>
      </c>
      <c r="AN11" s="6">
        <v>0</v>
      </c>
      <c r="AO11" s="6">
        <v>0</v>
      </c>
      <c r="AP11" s="6">
        <v>1</v>
      </c>
      <c r="AQ11" s="6">
        <v>0</v>
      </c>
      <c r="AR11" s="6">
        <v>0</v>
      </c>
      <c r="AS11" s="6">
        <v>0</v>
      </c>
      <c r="AT11" s="6">
        <v>1</v>
      </c>
      <c r="AU11" s="6">
        <v>1</v>
      </c>
      <c r="AV11" s="6">
        <v>1</v>
      </c>
      <c r="AW11" s="6">
        <v>0</v>
      </c>
      <c r="AX11" s="6">
        <v>1</v>
      </c>
      <c r="AY11" s="6">
        <v>1</v>
      </c>
      <c r="AZ11" s="6">
        <v>0</v>
      </c>
      <c r="BA11" s="6">
        <v>0</v>
      </c>
      <c r="BB11" s="6">
        <v>1</v>
      </c>
      <c r="BC11" s="6">
        <v>1</v>
      </c>
      <c r="BD11" s="6">
        <v>0</v>
      </c>
      <c r="BE11" s="6">
        <v>0</v>
      </c>
      <c r="BF11" s="6">
        <v>0</v>
      </c>
      <c r="BG11" s="6">
        <v>0</v>
      </c>
      <c r="BH11" s="6">
        <v>1</v>
      </c>
      <c r="BI11" s="6">
        <v>0</v>
      </c>
      <c r="BJ11" s="6">
        <v>0</v>
      </c>
      <c r="BK11" s="6">
        <v>1</v>
      </c>
      <c r="BL11" s="6">
        <v>1</v>
      </c>
      <c r="BM11" s="6">
        <v>0</v>
      </c>
      <c r="BN11" s="6">
        <v>0</v>
      </c>
      <c r="BO11" s="6">
        <v>0</v>
      </c>
      <c r="BP11" s="6">
        <v>1</v>
      </c>
      <c r="BQ11" s="6">
        <v>0</v>
      </c>
      <c r="BR11" s="8">
        <v>0</v>
      </c>
      <c r="BS11" s="6">
        <f t="shared" si="0"/>
        <v>28</v>
      </c>
      <c r="BT11" s="9">
        <f t="shared" si="1"/>
        <v>0.41176470588235292</v>
      </c>
      <c r="BU11" s="9"/>
      <c r="BV11" s="9"/>
      <c r="BW11" s="9"/>
      <c r="BX11" s="9"/>
    </row>
    <row r="12" spans="1:76" ht="22.5" customHeight="1" x14ac:dyDescent="0.2">
      <c r="A12" s="5" t="s">
        <v>84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1</v>
      </c>
      <c r="U12" s="6">
        <v>1</v>
      </c>
      <c r="V12" s="6">
        <v>0</v>
      </c>
      <c r="W12" s="6">
        <v>1</v>
      </c>
      <c r="X12" s="6">
        <v>1</v>
      </c>
      <c r="Y12" s="6">
        <v>1</v>
      </c>
      <c r="Z12" s="6">
        <v>1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1</v>
      </c>
      <c r="AO12" s="6">
        <v>0</v>
      </c>
      <c r="AP12" s="6">
        <v>0</v>
      </c>
      <c r="AQ12" s="6">
        <v>1</v>
      </c>
      <c r="AR12" s="6">
        <v>0</v>
      </c>
      <c r="AS12" s="6">
        <v>1</v>
      </c>
      <c r="AT12" s="6">
        <v>0</v>
      </c>
      <c r="AU12" s="6">
        <v>0</v>
      </c>
      <c r="AV12" s="6">
        <v>1</v>
      </c>
      <c r="AW12" s="6">
        <v>0</v>
      </c>
      <c r="AX12" s="6">
        <v>0</v>
      </c>
      <c r="AY12" s="6">
        <v>0</v>
      </c>
      <c r="AZ12" s="6">
        <v>1</v>
      </c>
      <c r="BA12" s="6">
        <v>1</v>
      </c>
      <c r="BB12" s="6">
        <v>0</v>
      </c>
      <c r="BC12" s="6">
        <v>1</v>
      </c>
      <c r="BD12" s="6">
        <v>0</v>
      </c>
      <c r="BE12" s="6">
        <v>0</v>
      </c>
      <c r="BF12" s="6">
        <v>0</v>
      </c>
      <c r="BG12" s="6">
        <v>1</v>
      </c>
      <c r="BH12" s="6">
        <v>1</v>
      </c>
      <c r="BI12" s="6">
        <v>1</v>
      </c>
      <c r="BJ12" s="6">
        <v>1</v>
      </c>
      <c r="BK12" s="6">
        <v>0</v>
      </c>
      <c r="BL12" s="6">
        <v>0</v>
      </c>
      <c r="BM12" s="6">
        <v>0</v>
      </c>
      <c r="BN12" s="6">
        <v>1</v>
      </c>
      <c r="BO12" s="6">
        <v>0</v>
      </c>
      <c r="BP12" s="6">
        <v>1</v>
      </c>
      <c r="BQ12" s="6">
        <v>1</v>
      </c>
      <c r="BR12" s="8">
        <v>0</v>
      </c>
      <c r="BS12" s="6">
        <f t="shared" si="0"/>
        <v>26</v>
      </c>
      <c r="BT12" s="9">
        <f t="shared" si="1"/>
        <v>0.38235294117647056</v>
      </c>
      <c r="BU12" s="9"/>
      <c r="BV12" s="9"/>
      <c r="BW12" s="9"/>
      <c r="BX12" s="9"/>
    </row>
    <row r="13" spans="1:76" ht="22.5" customHeight="1" x14ac:dyDescent="0.2">
      <c r="A13" s="11" t="s">
        <v>89</v>
      </c>
      <c r="B13" s="12">
        <v>0</v>
      </c>
      <c r="C13" s="7">
        <v>1</v>
      </c>
      <c r="D13" s="7">
        <v>0</v>
      </c>
      <c r="E13" s="7">
        <v>1</v>
      </c>
      <c r="F13" s="7">
        <v>0</v>
      </c>
      <c r="G13" s="7">
        <v>1</v>
      </c>
      <c r="H13" s="6">
        <v>0</v>
      </c>
      <c r="I13" s="6">
        <v>0</v>
      </c>
      <c r="J13" s="6">
        <v>0</v>
      </c>
      <c r="K13" s="6">
        <v>0</v>
      </c>
      <c r="L13" s="6">
        <v>1</v>
      </c>
      <c r="M13" s="6">
        <v>1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1</v>
      </c>
      <c r="T13" s="6">
        <v>1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1</v>
      </c>
      <c r="AB13" s="6">
        <v>0</v>
      </c>
      <c r="AC13" s="6">
        <v>0</v>
      </c>
      <c r="AD13" s="6">
        <v>0</v>
      </c>
      <c r="AE13" s="6">
        <v>1</v>
      </c>
      <c r="AF13" s="6">
        <v>0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</v>
      </c>
      <c r="AT13" s="6">
        <v>0</v>
      </c>
      <c r="AU13" s="6">
        <v>1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1</v>
      </c>
      <c r="BJ13" s="6">
        <v>1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8">
        <v>0</v>
      </c>
      <c r="BS13" s="6">
        <f t="shared" si="0"/>
        <v>21</v>
      </c>
      <c r="BT13" s="9">
        <f t="shared" si="1"/>
        <v>0.30882352941176472</v>
      </c>
      <c r="BU13" s="9"/>
      <c r="BV13" s="9"/>
      <c r="BW13" s="9"/>
      <c r="BX13" s="9"/>
    </row>
    <row r="14" spans="1:76" ht="22.5" customHeight="1" x14ac:dyDescent="0.2">
      <c r="A14" s="11" t="s">
        <v>90</v>
      </c>
      <c r="B14" s="12">
        <v>1</v>
      </c>
      <c r="C14" s="7">
        <v>1</v>
      </c>
      <c r="D14" s="7">
        <v>1</v>
      </c>
      <c r="E14" s="7">
        <v>0</v>
      </c>
      <c r="F14" s="7">
        <v>0</v>
      </c>
      <c r="G14" s="7">
        <v>1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1</v>
      </c>
      <c r="P14" s="6">
        <v>1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1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8">
        <v>0</v>
      </c>
      <c r="BS14" s="6">
        <f t="shared" si="0"/>
        <v>8</v>
      </c>
      <c r="BT14" s="9">
        <f t="shared" si="1"/>
        <v>0.11764705882352941</v>
      </c>
      <c r="BU14" s="9"/>
      <c r="BV14" s="9"/>
      <c r="BW14" s="9"/>
      <c r="BX14" s="9"/>
    </row>
    <row r="15" spans="1:76" ht="22.5" customHeight="1" x14ac:dyDescent="0.2">
      <c r="A15" s="5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1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</v>
      </c>
      <c r="AL15" s="6">
        <v>1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1</v>
      </c>
      <c r="AU15" s="6">
        <v>0</v>
      </c>
      <c r="AV15" s="6">
        <v>1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1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8">
        <v>0</v>
      </c>
      <c r="BS15" s="6">
        <f t="shared" si="0"/>
        <v>8</v>
      </c>
      <c r="BT15" s="9">
        <f t="shared" si="1"/>
        <v>0.11764705882352941</v>
      </c>
      <c r="BU15" s="9"/>
      <c r="BV15" s="9"/>
      <c r="BW15" s="9"/>
      <c r="BX15" s="9"/>
    </row>
    <row r="16" spans="1:76" ht="12.75" x14ac:dyDescent="0.2">
      <c r="A16" s="15" t="s">
        <v>92</v>
      </c>
      <c r="B16" s="16">
        <f t="shared" ref="B16:BQ16" si="2">COUNTIF(B2:B15, 1)</f>
        <v>4</v>
      </c>
      <c r="C16" s="16">
        <f t="shared" si="2"/>
        <v>5</v>
      </c>
      <c r="D16" s="16">
        <f t="shared" si="2"/>
        <v>8</v>
      </c>
      <c r="E16" s="16">
        <f t="shared" si="2"/>
        <v>3</v>
      </c>
      <c r="F16" s="16">
        <f t="shared" si="2"/>
        <v>3</v>
      </c>
      <c r="G16" s="16">
        <f t="shared" si="2"/>
        <v>4</v>
      </c>
      <c r="H16" s="16">
        <f t="shared" si="2"/>
        <v>3</v>
      </c>
      <c r="I16" s="16">
        <f t="shared" si="2"/>
        <v>2</v>
      </c>
      <c r="J16" s="16">
        <f t="shared" si="2"/>
        <v>5</v>
      </c>
      <c r="K16" s="16">
        <f t="shared" si="2"/>
        <v>9</v>
      </c>
      <c r="L16" s="16">
        <f t="shared" si="2"/>
        <v>3</v>
      </c>
      <c r="M16" s="16">
        <f t="shared" si="2"/>
        <v>3</v>
      </c>
      <c r="N16" s="16">
        <f t="shared" si="2"/>
        <v>4</v>
      </c>
      <c r="O16" s="16">
        <f t="shared" si="2"/>
        <v>5</v>
      </c>
      <c r="P16" s="16">
        <f t="shared" si="2"/>
        <v>2</v>
      </c>
      <c r="Q16" s="16">
        <f t="shared" si="2"/>
        <v>2</v>
      </c>
      <c r="R16" s="16">
        <f t="shared" si="2"/>
        <v>2</v>
      </c>
      <c r="S16" s="16">
        <f t="shared" si="2"/>
        <v>5</v>
      </c>
      <c r="T16" s="16">
        <f t="shared" si="2"/>
        <v>9</v>
      </c>
      <c r="U16" s="16">
        <f t="shared" si="2"/>
        <v>7</v>
      </c>
      <c r="V16" s="16">
        <f t="shared" si="2"/>
        <v>5</v>
      </c>
      <c r="W16" s="16">
        <f t="shared" si="2"/>
        <v>7</v>
      </c>
      <c r="X16" s="16">
        <f t="shared" si="2"/>
        <v>1</v>
      </c>
      <c r="Y16" s="16">
        <f t="shared" si="2"/>
        <v>4</v>
      </c>
      <c r="Z16" s="16">
        <f t="shared" si="2"/>
        <v>6</v>
      </c>
      <c r="AA16" s="16">
        <f t="shared" si="2"/>
        <v>5</v>
      </c>
      <c r="AB16" s="16">
        <f t="shared" si="2"/>
        <v>3</v>
      </c>
      <c r="AC16" s="16">
        <f t="shared" si="2"/>
        <v>5</v>
      </c>
      <c r="AD16" s="16">
        <f t="shared" si="2"/>
        <v>8</v>
      </c>
      <c r="AE16" s="16">
        <f t="shared" si="2"/>
        <v>6</v>
      </c>
      <c r="AF16" s="16">
        <f t="shared" si="2"/>
        <v>6</v>
      </c>
      <c r="AG16" s="16">
        <f t="shared" si="2"/>
        <v>3</v>
      </c>
      <c r="AH16" s="16">
        <f t="shared" si="2"/>
        <v>8</v>
      </c>
      <c r="AI16" s="16">
        <f t="shared" si="2"/>
        <v>4</v>
      </c>
      <c r="AJ16" s="16">
        <f t="shared" si="2"/>
        <v>8</v>
      </c>
      <c r="AK16" s="16">
        <f t="shared" si="2"/>
        <v>6</v>
      </c>
      <c r="AL16" s="16">
        <f t="shared" si="2"/>
        <v>7</v>
      </c>
      <c r="AM16" s="16">
        <f t="shared" si="2"/>
        <v>8</v>
      </c>
      <c r="AN16" s="16">
        <f t="shared" si="2"/>
        <v>10</v>
      </c>
      <c r="AO16" s="16">
        <f t="shared" si="2"/>
        <v>6</v>
      </c>
      <c r="AP16" s="16">
        <f t="shared" si="2"/>
        <v>7</v>
      </c>
      <c r="AQ16" s="16">
        <f t="shared" si="2"/>
        <v>8</v>
      </c>
      <c r="AR16" s="16">
        <f t="shared" si="2"/>
        <v>1</v>
      </c>
      <c r="AS16" s="16">
        <f t="shared" si="2"/>
        <v>5</v>
      </c>
      <c r="AT16" s="16">
        <f t="shared" si="2"/>
        <v>9</v>
      </c>
      <c r="AU16" s="16">
        <f t="shared" si="2"/>
        <v>9</v>
      </c>
      <c r="AV16" s="16">
        <f t="shared" si="2"/>
        <v>8</v>
      </c>
      <c r="AW16" s="16">
        <f t="shared" si="2"/>
        <v>4</v>
      </c>
      <c r="AX16" s="16">
        <f t="shared" si="2"/>
        <v>9</v>
      </c>
      <c r="AY16" s="16">
        <f t="shared" si="2"/>
        <v>9</v>
      </c>
      <c r="AZ16" s="16">
        <f t="shared" si="2"/>
        <v>4</v>
      </c>
      <c r="BA16" s="16">
        <f t="shared" si="2"/>
        <v>4</v>
      </c>
      <c r="BB16" s="16">
        <f t="shared" si="2"/>
        <v>11</v>
      </c>
      <c r="BC16" s="16">
        <f t="shared" si="2"/>
        <v>9</v>
      </c>
      <c r="BD16" s="16">
        <f t="shared" si="2"/>
        <v>4</v>
      </c>
      <c r="BE16" s="16">
        <f t="shared" si="2"/>
        <v>3</v>
      </c>
      <c r="BF16" s="16">
        <f t="shared" si="2"/>
        <v>9</v>
      </c>
      <c r="BG16" s="16">
        <f t="shared" si="2"/>
        <v>1</v>
      </c>
      <c r="BH16" s="16">
        <f t="shared" si="2"/>
        <v>4</v>
      </c>
      <c r="BI16" s="16">
        <f t="shared" si="2"/>
        <v>3</v>
      </c>
      <c r="BJ16" s="16">
        <f t="shared" si="2"/>
        <v>4</v>
      </c>
      <c r="BK16" s="16">
        <f t="shared" si="2"/>
        <v>8</v>
      </c>
      <c r="BL16" s="16">
        <f t="shared" si="2"/>
        <v>4</v>
      </c>
      <c r="BM16" s="16">
        <f t="shared" si="2"/>
        <v>4</v>
      </c>
      <c r="BN16" s="16">
        <f t="shared" si="2"/>
        <v>4</v>
      </c>
      <c r="BO16" s="16">
        <f t="shared" si="2"/>
        <v>6</v>
      </c>
      <c r="BP16" s="16">
        <f t="shared" si="2"/>
        <v>8</v>
      </c>
      <c r="BQ16" s="16">
        <f t="shared" si="2"/>
        <v>5</v>
      </c>
    </row>
    <row r="17" spans="1:69" ht="12.75" x14ac:dyDescent="0.2">
      <c r="A17" s="15" t="s">
        <v>93</v>
      </c>
      <c r="B17" s="16" t="str">
        <f t="shared" ref="B17:BQ17" si="3">IF(B16&gt;=7, "Majority Win", "Minority Win")</f>
        <v>Minority Win</v>
      </c>
      <c r="C17" s="16" t="str">
        <f t="shared" si="3"/>
        <v>Minority Win</v>
      </c>
      <c r="D17" s="16" t="str">
        <f t="shared" si="3"/>
        <v>Majority Win</v>
      </c>
      <c r="E17" s="16" t="str">
        <f t="shared" si="3"/>
        <v>Minority Win</v>
      </c>
      <c r="F17" s="16" t="str">
        <f t="shared" si="3"/>
        <v>Minority Win</v>
      </c>
      <c r="G17" s="16" t="str">
        <f t="shared" si="3"/>
        <v>Minority Win</v>
      </c>
      <c r="H17" s="16" t="str">
        <f t="shared" si="3"/>
        <v>Minority Win</v>
      </c>
      <c r="I17" s="16" t="str">
        <f t="shared" si="3"/>
        <v>Minority Win</v>
      </c>
      <c r="J17" s="16" t="str">
        <f t="shared" si="3"/>
        <v>Minority Win</v>
      </c>
      <c r="K17" s="16" t="str">
        <f t="shared" si="3"/>
        <v>Majority Win</v>
      </c>
      <c r="L17" s="16" t="str">
        <f t="shared" si="3"/>
        <v>Minority Win</v>
      </c>
      <c r="M17" s="16" t="str">
        <f t="shared" si="3"/>
        <v>Minority Win</v>
      </c>
      <c r="N17" s="16" t="str">
        <f t="shared" si="3"/>
        <v>Minority Win</v>
      </c>
      <c r="O17" s="16" t="str">
        <f t="shared" si="3"/>
        <v>Minority Win</v>
      </c>
      <c r="P17" s="16" t="str">
        <f t="shared" si="3"/>
        <v>Minority Win</v>
      </c>
      <c r="Q17" s="16" t="str">
        <f t="shared" si="3"/>
        <v>Minority Win</v>
      </c>
      <c r="R17" s="16" t="str">
        <f t="shared" si="3"/>
        <v>Minority Win</v>
      </c>
      <c r="S17" s="16" t="str">
        <f t="shared" si="3"/>
        <v>Minority Win</v>
      </c>
      <c r="T17" s="16" t="str">
        <f t="shared" si="3"/>
        <v>Majority Win</v>
      </c>
      <c r="U17" s="16" t="str">
        <f t="shared" si="3"/>
        <v>Majority Win</v>
      </c>
      <c r="V17" s="16" t="str">
        <f t="shared" si="3"/>
        <v>Minority Win</v>
      </c>
      <c r="W17" s="16" t="str">
        <f t="shared" si="3"/>
        <v>Majority Win</v>
      </c>
      <c r="X17" s="16" t="str">
        <f t="shared" si="3"/>
        <v>Minority Win</v>
      </c>
      <c r="Y17" s="16" t="str">
        <f t="shared" si="3"/>
        <v>Minority Win</v>
      </c>
      <c r="Z17" s="16" t="str">
        <f t="shared" si="3"/>
        <v>Minority Win</v>
      </c>
      <c r="AA17" s="16" t="str">
        <f t="shared" si="3"/>
        <v>Minority Win</v>
      </c>
      <c r="AB17" s="16" t="str">
        <f t="shared" si="3"/>
        <v>Minority Win</v>
      </c>
      <c r="AC17" s="16" t="str">
        <f t="shared" si="3"/>
        <v>Minority Win</v>
      </c>
      <c r="AD17" s="16" t="str">
        <f t="shared" si="3"/>
        <v>Majority Win</v>
      </c>
      <c r="AE17" s="16" t="str">
        <f t="shared" si="3"/>
        <v>Minority Win</v>
      </c>
      <c r="AF17" s="16" t="str">
        <f t="shared" si="3"/>
        <v>Minority Win</v>
      </c>
      <c r="AG17" s="16" t="str">
        <f t="shared" si="3"/>
        <v>Minority Win</v>
      </c>
      <c r="AH17" s="16" t="str">
        <f t="shared" si="3"/>
        <v>Majority Win</v>
      </c>
      <c r="AI17" s="16" t="str">
        <f t="shared" si="3"/>
        <v>Minority Win</v>
      </c>
      <c r="AJ17" s="16" t="str">
        <f t="shared" si="3"/>
        <v>Majority Win</v>
      </c>
      <c r="AK17" s="16" t="str">
        <f t="shared" si="3"/>
        <v>Minority Win</v>
      </c>
      <c r="AL17" s="16" t="str">
        <f t="shared" si="3"/>
        <v>Majority Win</v>
      </c>
      <c r="AM17" s="16" t="str">
        <f t="shared" si="3"/>
        <v>Majority Win</v>
      </c>
      <c r="AN17" s="16" t="str">
        <f t="shared" si="3"/>
        <v>Majority Win</v>
      </c>
      <c r="AO17" s="16" t="str">
        <f t="shared" si="3"/>
        <v>Minority Win</v>
      </c>
      <c r="AP17" s="16" t="str">
        <f t="shared" si="3"/>
        <v>Majority Win</v>
      </c>
      <c r="AQ17" s="16" t="str">
        <f t="shared" si="3"/>
        <v>Majority Win</v>
      </c>
      <c r="AR17" s="16" t="str">
        <f t="shared" si="3"/>
        <v>Minority Win</v>
      </c>
      <c r="AS17" s="16" t="str">
        <f t="shared" si="3"/>
        <v>Minority Win</v>
      </c>
      <c r="AT17" s="16" t="str">
        <f t="shared" si="3"/>
        <v>Majority Win</v>
      </c>
      <c r="AU17" s="16" t="str">
        <f t="shared" si="3"/>
        <v>Majority Win</v>
      </c>
      <c r="AV17" s="16" t="str">
        <f t="shared" si="3"/>
        <v>Majority Win</v>
      </c>
      <c r="AW17" s="16" t="str">
        <f t="shared" si="3"/>
        <v>Minority Win</v>
      </c>
      <c r="AX17" s="16" t="str">
        <f t="shared" si="3"/>
        <v>Majority Win</v>
      </c>
      <c r="AY17" s="16" t="str">
        <f t="shared" si="3"/>
        <v>Majority Win</v>
      </c>
      <c r="AZ17" s="16" t="str">
        <f t="shared" si="3"/>
        <v>Minority Win</v>
      </c>
      <c r="BA17" s="16" t="str">
        <f t="shared" si="3"/>
        <v>Minority Win</v>
      </c>
      <c r="BB17" s="16" t="str">
        <f t="shared" si="3"/>
        <v>Majority Win</v>
      </c>
      <c r="BC17" s="16" t="str">
        <f t="shared" si="3"/>
        <v>Majority Win</v>
      </c>
      <c r="BD17" s="16" t="str">
        <f t="shared" si="3"/>
        <v>Minority Win</v>
      </c>
      <c r="BE17" s="16" t="str">
        <f t="shared" si="3"/>
        <v>Minority Win</v>
      </c>
      <c r="BF17" s="16" t="str">
        <f t="shared" si="3"/>
        <v>Majority Win</v>
      </c>
      <c r="BG17" s="16" t="str">
        <f t="shared" si="3"/>
        <v>Minority Win</v>
      </c>
      <c r="BH17" s="16" t="str">
        <f t="shared" si="3"/>
        <v>Minority Win</v>
      </c>
      <c r="BI17" s="16" t="str">
        <f t="shared" si="3"/>
        <v>Minority Win</v>
      </c>
      <c r="BJ17" s="16" t="str">
        <f t="shared" si="3"/>
        <v>Minority Win</v>
      </c>
      <c r="BK17" s="16" t="str">
        <f t="shared" si="3"/>
        <v>Majority Win</v>
      </c>
      <c r="BL17" s="16" t="str">
        <f t="shared" si="3"/>
        <v>Minority Win</v>
      </c>
      <c r="BM17" s="16" t="str">
        <f t="shared" si="3"/>
        <v>Minority Win</v>
      </c>
      <c r="BN17" s="16" t="str">
        <f t="shared" si="3"/>
        <v>Minority Win</v>
      </c>
      <c r="BO17" s="16" t="str">
        <f t="shared" si="3"/>
        <v>Minority Win</v>
      </c>
      <c r="BP17" s="16" t="str">
        <f t="shared" si="3"/>
        <v>Majority Win</v>
      </c>
      <c r="BQ17" s="16" t="str">
        <f t="shared" si="3"/>
        <v>Minority Win</v>
      </c>
    </row>
    <row r="18" spans="1:69" ht="12.75" x14ac:dyDescent="0.2">
      <c r="A18" s="15" t="s">
        <v>94</v>
      </c>
      <c r="B18" s="16">
        <f t="shared" ref="B18:BQ18" si="4">IF(B17="Majority Win", 1, 0)</f>
        <v>0</v>
      </c>
      <c r="C18" s="16">
        <f t="shared" si="4"/>
        <v>0</v>
      </c>
      <c r="D18" s="16">
        <f t="shared" si="4"/>
        <v>1</v>
      </c>
      <c r="E18" s="16">
        <f t="shared" si="4"/>
        <v>0</v>
      </c>
      <c r="F18" s="16">
        <f t="shared" si="4"/>
        <v>0</v>
      </c>
      <c r="G18" s="16">
        <f t="shared" si="4"/>
        <v>0</v>
      </c>
      <c r="H18" s="16">
        <f t="shared" si="4"/>
        <v>0</v>
      </c>
      <c r="I18" s="16">
        <f t="shared" si="4"/>
        <v>0</v>
      </c>
      <c r="J18" s="16">
        <f t="shared" si="4"/>
        <v>0</v>
      </c>
      <c r="K18" s="16">
        <f t="shared" si="4"/>
        <v>1</v>
      </c>
      <c r="L18" s="16">
        <f t="shared" si="4"/>
        <v>0</v>
      </c>
      <c r="M18" s="16">
        <f t="shared" si="4"/>
        <v>0</v>
      </c>
      <c r="N18" s="16">
        <f t="shared" si="4"/>
        <v>0</v>
      </c>
      <c r="O18" s="16">
        <f t="shared" si="4"/>
        <v>0</v>
      </c>
      <c r="P18" s="16">
        <f t="shared" si="4"/>
        <v>0</v>
      </c>
      <c r="Q18" s="16">
        <f t="shared" si="4"/>
        <v>0</v>
      </c>
      <c r="R18" s="16">
        <f t="shared" si="4"/>
        <v>0</v>
      </c>
      <c r="S18" s="16">
        <f t="shared" si="4"/>
        <v>0</v>
      </c>
      <c r="T18" s="16">
        <f t="shared" si="4"/>
        <v>1</v>
      </c>
      <c r="U18" s="16">
        <f t="shared" si="4"/>
        <v>1</v>
      </c>
      <c r="V18" s="16">
        <f t="shared" si="4"/>
        <v>0</v>
      </c>
      <c r="W18" s="16">
        <f t="shared" si="4"/>
        <v>1</v>
      </c>
      <c r="X18" s="16">
        <f t="shared" si="4"/>
        <v>0</v>
      </c>
      <c r="Y18" s="16">
        <f t="shared" si="4"/>
        <v>0</v>
      </c>
      <c r="Z18" s="16">
        <f t="shared" si="4"/>
        <v>0</v>
      </c>
      <c r="AA18" s="16">
        <f t="shared" si="4"/>
        <v>0</v>
      </c>
      <c r="AB18" s="16">
        <f t="shared" si="4"/>
        <v>0</v>
      </c>
      <c r="AC18" s="16">
        <f t="shared" si="4"/>
        <v>0</v>
      </c>
      <c r="AD18" s="16">
        <f t="shared" si="4"/>
        <v>1</v>
      </c>
      <c r="AE18" s="16">
        <f t="shared" si="4"/>
        <v>0</v>
      </c>
      <c r="AF18" s="16">
        <f t="shared" si="4"/>
        <v>0</v>
      </c>
      <c r="AG18" s="16">
        <f t="shared" si="4"/>
        <v>0</v>
      </c>
      <c r="AH18" s="16">
        <f t="shared" si="4"/>
        <v>1</v>
      </c>
      <c r="AI18" s="16">
        <f t="shared" si="4"/>
        <v>0</v>
      </c>
      <c r="AJ18" s="16">
        <f t="shared" si="4"/>
        <v>1</v>
      </c>
      <c r="AK18" s="16">
        <f t="shared" si="4"/>
        <v>0</v>
      </c>
      <c r="AL18" s="16">
        <f t="shared" si="4"/>
        <v>1</v>
      </c>
      <c r="AM18" s="16">
        <f t="shared" si="4"/>
        <v>1</v>
      </c>
      <c r="AN18" s="16">
        <f t="shared" si="4"/>
        <v>1</v>
      </c>
      <c r="AO18" s="16">
        <f t="shared" si="4"/>
        <v>0</v>
      </c>
      <c r="AP18" s="16">
        <f t="shared" si="4"/>
        <v>1</v>
      </c>
      <c r="AQ18" s="16">
        <f t="shared" si="4"/>
        <v>1</v>
      </c>
      <c r="AR18" s="16">
        <f t="shared" si="4"/>
        <v>0</v>
      </c>
      <c r="AS18" s="16">
        <f t="shared" si="4"/>
        <v>0</v>
      </c>
      <c r="AT18" s="16">
        <f t="shared" si="4"/>
        <v>1</v>
      </c>
      <c r="AU18" s="16">
        <f t="shared" si="4"/>
        <v>1</v>
      </c>
      <c r="AV18" s="16">
        <f t="shared" si="4"/>
        <v>1</v>
      </c>
      <c r="AW18" s="16">
        <f t="shared" si="4"/>
        <v>0</v>
      </c>
      <c r="AX18" s="16">
        <f t="shared" si="4"/>
        <v>1</v>
      </c>
      <c r="AY18" s="16">
        <f t="shared" si="4"/>
        <v>1</v>
      </c>
      <c r="AZ18" s="16">
        <f t="shared" si="4"/>
        <v>0</v>
      </c>
      <c r="BA18" s="16">
        <f t="shared" si="4"/>
        <v>0</v>
      </c>
      <c r="BB18" s="16">
        <f t="shared" si="4"/>
        <v>1</v>
      </c>
      <c r="BC18" s="16">
        <f t="shared" si="4"/>
        <v>1</v>
      </c>
      <c r="BD18" s="16">
        <f t="shared" si="4"/>
        <v>0</v>
      </c>
      <c r="BE18" s="16">
        <f t="shared" si="4"/>
        <v>0</v>
      </c>
      <c r="BF18" s="16">
        <f t="shared" si="4"/>
        <v>1</v>
      </c>
      <c r="BG18" s="16">
        <f t="shared" si="4"/>
        <v>0</v>
      </c>
      <c r="BH18" s="16">
        <f t="shared" si="4"/>
        <v>0</v>
      </c>
      <c r="BI18" s="16">
        <f t="shared" si="4"/>
        <v>0</v>
      </c>
      <c r="BJ18" s="16">
        <f t="shared" si="4"/>
        <v>0</v>
      </c>
      <c r="BK18" s="16">
        <f t="shared" si="4"/>
        <v>1</v>
      </c>
      <c r="BL18" s="16">
        <f t="shared" si="4"/>
        <v>0</v>
      </c>
      <c r="BM18" s="16">
        <f t="shared" si="4"/>
        <v>0</v>
      </c>
      <c r="BN18" s="16">
        <f t="shared" si="4"/>
        <v>0</v>
      </c>
      <c r="BO18" s="16">
        <f t="shared" si="4"/>
        <v>0</v>
      </c>
      <c r="BP18" s="16">
        <f t="shared" si="4"/>
        <v>1</v>
      </c>
      <c r="BQ18" s="16">
        <f t="shared" si="4"/>
        <v>0</v>
      </c>
    </row>
  </sheetData>
  <conditionalFormatting sqref="A17">
    <cfRule type="notContainsBlanks" dxfId="2" priority="3">
      <formula>LEN(TRIM(A17))&gt;0</formula>
    </cfRule>
  </conditionalFormatting>
  <conditionalFormatting sqref="B17:BS17">
    <cfRule type="containsText" dxfId="1" priority="1" operator="containsText" text="Minority Win">
      <formula>NOT(ISERROR(SEARCH(("Minority Win"),(B17))))</formula>
    </cfRule>
    <cfRule type="containsText" dxfId="0" priority="2" operator="containsText" text="Majority Win">
      <formula>NOT(ISERROR(SEARCH(("Majority Win"),(B17))))</formula>
    </cfRule>
  </conditionalFormatting>
  <dataValidations count="1">
    <dataValidation type="custom" allowBlank="1" showDropDown="1" sqref="B2:C15 BS2:BS15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Chandrasekaran, Dinesh</cp:lastModifiedBy>
  <dcterms:modified xsi:type="dcterms:W3CDTF">2026-06-02T19:17:42Z</dcterms:modified>
</cp:coreProperties>
</file>